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rosas\Downloads\"/>
    </mc:Choice>
  </mc:AlternateContent>
  <xr:revisionPtr revIDLastSave="0" documentId="13_ncr:1_{B110E434-B475-472C-93A8-8E639C3FB396}" xr6:coauthVersionLast="47" xr6:coauthVersionMax="47" xr10:uidLastSave="{00000000-0000-0000-0000-000000000000}"/>
  <bookViews>
    <workbookView xWindow="28690" yWindow="-110" windowWidth="29020" windowHeight="15820" xr2:uid="{1F9F26CD-E6DA-4B19-B8E2-B5659F52FBC1}"/>
  </bookViews>
  <sheets>
    <sheet name="Hoja1" sheetId="2" r:id="rId1"/>
    <sheet name="Hoja2" sheetId="3" r:id="rId2"/>
    <sheet name="fnd_gfm_9980689" sheetId="1" r:id="rId3"/>
  </sheets>
  <definedNames>
    <definedName name="_xlnm._FilterDatabase" localSheetId="0" hidden="1">Hoja1!$A$3:$I$189</definedName>
    <definedName name="_xlnm._FilterDatabase" localSheetId="1" hidden="1">Hoja2!$A$1:$H$131</definedName>
  </definedNames>
  <calcPr calcId="191029"/>
  <pivotCaches>
    <pivotCache cacheId="80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<sst xmlns="http://schemas.openxmlformats.org/spreadsheetml/2006/main" count="4294932410" uniqueCount="115">
  <si>
    <t>Promised Date</t>
  </si>
  <si>
    <t>Number</t>
  </si>
  <si>
    <t>Item</t>
  </si>
  <si>
    <t>Supplier</t>
  </si>
  <si>
    <t>Item Description</t>
  </si>
  <si>
    <t>UOM</t>
  </si>
  <si>
    <t>Quantity</t>
  </si>
  <si>
    <t>Ship To Organization</t>
  </si>
  <si>
    <t>Need By Date</t>
  </si>
  <si>
    <t>Creation Date</t>
  </si>
  <si>
    <t>Shipment Amount</t>
  </si>
  <si>
    <t>Authorization Status</t>
  </si>
  <si>
    <t>Quantity Received</t>
  </si>
  <si>
    <t>Quantity Due</t>
  </si>
  <si>
    <t>Quantity Billed</t>
  </si>
  <si>
    <t>Quantity Cancelled</t>
  </si>
  <si>
    <t>Closure Status</t>
  </si>
  <si>
    <t>Buyer</t>
  </si>
  <si>
    <t>Supplier Site</t>
  </si>
  <si>
    <t>Line</t>
  </si>
  <si>
    <t>Release</t>
  </si>
  <si>
    <t>Shipment</t>
  </si>
  <si>
    <t>Quantity Accepted</t>
  </si>
  <si>
    <t>Quantity Rejected</t>
  </si>
  <si>
    <t>Currency</t>
  </si>
  <si>
    <t>Invoice Match Option</t>
  </si>
  <si>
    <t>Country of Origin</t>
  </si>
  <si>
    <t>Ack Status</t>
  </si>
  <si>
    <t>Ack Reason</t>
  </si>
  <si>
    <t>[ ]</t>
  </si>
  <si>
    <t>CL69787</t>
  </si>
  <si>
    <t>SERVI QUIM DE MONTERREY SA DE CV</t>
  </si>
  <si>
    <t>KIT DERRAME DE FLUIDOS</t>
  </si>
  <si>
    <t>PIEZA</t>
  </si>
  <si>
    <t>OI_C06 CEDIS GUADALAJARA</t>
  </si>
  <si>
    <t>Approved</t>
  </si>
  <si>
    <t>Open</t>
  </si>
  <si>
    <t>ROSAS FLORES, MARIO ALBERTO</t>
  </si>
  <si>
    <t>CORPORATIVO</t>
  </si>
  <si>
    <t>MXN</t>
  </si>
  <si>
    <t>Receipt(1)</t>
  </si>
  <si>
    <t>Mexico</t>
  </si>
  <si>
    <t>CL75592</t>
  </si>
  <si>
    <t>TOALLA COLOR VERDE</t>
  </si>
  <si>
    <t>CAJA</t>
  </si>
  <si>
    <t>OI_C01 CEDIS TIJUANA</t>
  </si>
  <si>
    <t>CRUZ SANSEN, JESUS MANUEL</t>
  </si>
  <si>
    <t>CL75593</t>
  </si>
  <si>
    <t>TOALLA COLOR AMARILLO</t>
  </si>
  <si>
    <t>CL75591</t>
  </si>
  <si>
    <t>TOALLA COLOR AZUL</t>
  </si>
  <si>
    <t>CL99175</t>
  </si>
  <si>
    <t>GEL DESINFECTANTE PURELL</t>
  </si>
  <si>
    <t>CL75586</t>
  </si>
  <si>
    <t>HD DESENGRASANTE AZUL USO RUDO</t>
  </si>
  <si>
    <t>CL99892</t>
  </si>
  <si>
    <t>SUMA DISH DETERGENTE LAVA VAJILLAS</t>
  </si>
  <si>
    <t>CL99893</t>
  </si>
  <si>
    <t>SUMA J-512. SANITIZANTE PARA SUPERFICIES</t>
  </si>
  <si>
    <t>CL99174</t>
  </si>
  <si>
    <t>JABON ANTIBACTERIAL GOJO</t>
  </si>
  <si>
    <t>CL75587</t>
  </si>
  <si>
    <t>JABON ANTIBACTERIAL PARA MANOS</t>
  </si>
  <si>
    <t>CL70707</t>
  </si>
  <si>
    <t>LIMPIADOR ACIDO Y DESINCRUSTANTE</t>
  </si>
  <si>
    <t>CL99992</t>
  </si>
  <si>
    <t>LIMPIADOR P PISOS CONGELADOR Y CAMARAS FRIAS</t>
  </si>
  <si>
    <t>CL99863</t>
  </si>
  <si>
    <t>TOALLITAS DESINFECTANTES PARA MANOS PURELL</t>
  </si>
  <si>
    <t>CL55974</t>
  </si>
  <si>
    <t>BOTE CON ATOMIZADOR PARA HD DEGREASER</t>
  </si>
  <si>
    <t>PE50851</t>
  </si>
  <si>
    <t>SERVILLETA XPRESSNAP 12S 500HS</t>
  </si>
  <si>
    <t>CL55973</t>
  </si>
  <si>
    <t>BOTE CON ATOMIZADOR PARA HD PLUS FOAM</t>
  </si>
  <si>
    <t>CL55972</t>
  </si>
  <si>
    <t>BOTE CON ATOMIZADOR PARA SUMA J-512</t>
  </si>
  <si>
    <t>CL99899</t>
  </si>
  <si>
    <t>ALPHA HP. DESINFECTANTE MULTIUSOS</t>
  </si>
  <si>
    <t>CL55975</t>
  </si>
  <si>
    <t>BOTE CON ATOMIZADOR PARA HYPOFOAM</t>
  </si>
  <si>
    <t>CL99896</t>
  </si>
  <si>
    <t>HD PLUS FOAM. LIMPIADOR ESPUMANTE CAUSTICO</t>
  </si>
  <si>
    <t>CL99895</t>
  </si>
  <si>
    <t>HYPOFOAM. DETERGENTE CON CLORO</t>
  </si>
  <si>
    <t>CL70703</t>
  </si>
  <si>
    <t>PAPEL INDICADOR PARA SUMA 5-512</t>
  </si>
  <si>
    <t>CL99894</t>
  </si>
  <si>
    <t>SUMA EDEN. LAVADO DE VEGETALES</t>
  </si>
  <si>
    <t>CL99897</t>
  </si>
  <si>
    <t>SUMA WHITENER. BLANQUEADOR DE TABLAS</t>
  </si>
  <si>
    <t>CL70706</t>
  </si>
  <si>
    <t>TIRAS INDICADORAS PH PARA SUMA EDEN</t>
  </si>
  <si>
    <t>OI_C08 CEDIS HERMOSILLO MERLOT</t>
  </si>
  <si>
    <t>CL99879</t>
  </si>
  <si>
    <t>JABON ANTIBACTERIAL SKINLIT T2</t>
  </si>
  <si>
    <t>OI_C10 CEDIS CULIACAN</t>
  </si>
  <si>
    <t>CC99857</t>
  </si>
  <si>
    <t>RED POLIESTER NEGRA CAJA 1000 PZA</t>
  </si>
  <si>
    <t>CL75584</t>
  </si>
  <si>
    <t>TORK WIPER VERDE</t>
  </si>
  <si>
    <t>CL99878</t>
  </si>
  <si>
    <t>DERMOLIT 70 GEL ANTIBACTERIAL</t>
  </si>
  <si>
    <t>CL99898</t>
  </si>
  <si>
    <t>SUMA HI TEMP. LIMPIADOR PARA HORNOS Y PARRILLAS</t>
  </si>
  <si>
    <t>CL75585</t>
  </si>
  <si>
    <t>TORK WIPER AZUL 8X40</t>
  </si>
  <si>
    <t>Total general</t>
  </si>
  <si>
    <t>Sem Promesa</t>
  </si>
  <si>
    <t>Confirmada</t>
  </si>
  <si>
    <t>Se Cancela</t>
  </si>
  <si>
    <t>Se entrega 17/07</t>
  </si>
  <si>
    <t>Comentarios del proveedor</t>
  </si>
  <si>
    <t>confirmada</t>
  </si>
  <si>
    <t xml:space="preserve">Pendiente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</si>
</sst>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6" fillId="0" borderId="0" xfId="0" applyFont="1"/>
    <xf numFmtId="0" fontId="17" fillId="33" borderId="0" xfId="0" applyFont="1" applyFill="1"/>
    <xf numFmtId="164" fontId="0" fillId="0" borderId="0" xfId="0" applyNumberFormat="1"/>
    <xf numFmtId="164" fontId="17" fillId="33" borderId="0" xfId="0" applyNumberFormat="1" applyFont="1" applyFill="1"/>
    <xf numFmtId="14" fontId="16" fillId="0" borderId="0" xfId="0" applyNumberFormat="1" applyFont="1"/>
    <xf numFmtId="1" fontId="0" fillId="0" borderId="0" xfId="0" applyNumberFormat="1"/>
    <xf numFmtId="0" fontId="0" fillId="34" borderId="0" xfId="0" applyFill="1"/>
    <xf numFmtId="0" fontId="13" fillId="33" borderId="0" xfId="0" applyFont="1" applyFill="1"/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/>
    </xf>
    <xf numFmtId="164" fontId="13" fillId="3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5" borderId="0" xfId="0" applyFill="1"/>
    <xf numFmtId="14" fontId="0" fillId="35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color theme="0"/>
      </font>
      <fill>
        <patternFill patternType="solid">
          <fgColor indexed="64"/>
          <bgColor theme="6" tint="-0.249977111117893"/>
        </patternFill>
      </fill>
    </dxf>
    <dxf>
      <numFmt numFmtId="164" formatCode="dd/mm/yyyy;@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Alberto Rosas" refreshedDate="46219.419062384259" createdVersion="8" refreshedVersion="8" minRefreshableVersion="3" recordCount="188" xr:uid="{C1A06BA3-2297-4DF3-90BE-A6CE570E5F8B}">
  <cacheSource type="worksheet">
    <worksheetSource ref="A1:AE1048576" sheet="fnd_gfm_9980689"/>
  </cacheSource>
  <cacheFields count="31">
    <cacheField name="Promised Date" numFmtId="14">
      <sharedItems containsNonDate="0" containsDate="1" containsString="0" containsBlank="1" minDate="2026-03-18T00:00:00" maxDate="2026-08-21T00:00:00" count="18">
        <d v="2026-03-18T00:00:00"/>
        <d v="2026-05-21T00:00:00"/>
        <d v="2026-05-28T00:00:00"/>
        <d v="2026-06-04T00:00:00"/>
        <d v="2026-06-11T00:00:00"/>
        <d v="2026-06-18T00:00:00"/>
        <d v="2026-06-25T00:00:00"/>
        <d v="2026-06-26T00:00:00"/>
        <d v="2026-07-02T00:00:00"/>
        <d v="2026-07-09T00:00:00"/>
        <d v="2026-07-10T00:00:00"/>
        <d v="2026-07-16T00:00:00"/>
        <d v="2026-07-23T00:00:00"/>
        <d v="2026-07-30T00:00:00"/>
        <d v="2026-08-06T00:00:00"/>
        <d v="2026-08-13T00:00:00"/>
        <d v="2026-08-20T00:00:00"/>
        <m/>
      </sharedItems>
    </cacheField>
    <cacheField name="Number" numFmtId="0">
      <sharedItems containsString="0" containsBlank="1" containsNumber="1" containsInteger="1" minValue="201207" maxValue="210307" count="77">
        <n v="201207"/>
        <n v="205369"/>
        <n v="204896"/>
        <n v="204876"/>
        <n v="203957"/>
        <n v="206528"/>
        <n v="206447"/>
        <n v="206429"/>
        <n v="205370"/>
        <n v="206845"/>
        <n v="206839"/>
        <n v="207824"/>
        <n v="206446"/>
        <n v="208377"/>
        <n v="204934"/>
        <n v="203571"/>
        <n v="208375"/>
        <n v="209218"/>
        <n v="209171"/>
        <n v="208376"/>
        <n v="208357"/>
        <n v="206843"/>
        <n v="208771"/>
        <n v="208770"/>
        <n v="209953"/>
        <n v="209881"/>
        <n v="209219"/>
        <n v="208383"/>
        <n v="208356"/>
        <n v="208355"/>
        <n v="207701"/>
        <n v="206530"/>
        <n v="210286"/>
        <n v="210281"/>
        <n v="210278"/>
        <n v="209950"/>
        <n v="209942"/>
        <n v="209883"/>
        <n v="209216"/>
        <n v="208766"/>
        <n v="208380"/>
        <n v="208358"/>
        <n v="210306"/>
        <n v="210305"/>
        <n v="210295"/>
        <n v="210292"/>
        <n v="210282"/>
        <n v="209944"/>
        <n v="209217"/>
        <n v="209179"/>
        <n v="209172"/>
        <n v="208765"/>
        <n v="208708"/>
        <n v="210303"/>
        <n v="210293"/>
        <n v="210290"/>
        <n v="210288"/>
        <n v="210285"/>
        <n v="210279"/>
        <n v="209948"/>
        <n v="209946"/>
        <n v="209945"/>
        <n v="209941"/>
        <n v="209884"/>
        <n v="209178"/>
        <n v="210307"/>
        <n v="210300"/>
        <n v="210299"/>
        <n v="210294"/>
        <n v="210289"/>
        <n v="210280"/>
        <n v="210277"/>
        <n v="209882"/>
        <n v="210302"/>
        <n v="210291"/>
        <n v="210276"/>
        <m/>
      </sharedItems>
    </cacheField>
    <cacheField name="Item" numFmtId="0">
      <sharedItems containsBlank="1" count="32">
        <s v="CL69787"/>
        <s v="CL75592"/>
        <s v="CL75593"/>
        <s v="CL75591"/>
        <s v="CL99175"/>
        <s v="CL75586"/>
        <s v="CL99892"/>
        <s v="CL99893"/>
        <s v="CL99174"/>
        <s v="CL75587"/>
        <s v="CL70707"/>
        <s v="CL99992"/>
        <s v="CL99863"/>
        <s v="CL55974"/>
        <s v="PE50851"/>
        <s v="CL55973"/>
        <s v="CL55972"/>
        <s v="CL99899"/>
        <s v="CL55975"/>
        <s v="CL99896"/>
        <s v="CL99895"/>
        <s v="CL70703"/>
        <s v="CL99894"/>
        <s v="CL99897"/>
        <s v="CL70706"/>
        <s v="CL99879"/>
        <s v="CC99857"/>
        <s v="CL75584"/>
        <s v="CL99878"/>
        <s v="CL99898"/>
        <s v="CL75585"/>
        <m/>
      </sharedItems>
    </cacheField>
    <cacheField name="Supplier" numFmtId="0">
      <sharedItems containsBlank="1"/>
    </cacheField>
    <cacheField name="Item Description" numFmtId="0">
      <sharedItems containsBlank="1" count="32">
        <s v="KIT DERRAME DE FLUIDOS"/>
        <s v="TOALLA COLOR VERDE"/>
        <s v="TOALLA COLOR AMARILLO"/>
        <s v="TOALLA COLOR AZUL"/>
        <s v="GEL DESINFECTANTE PURELL"/>
        <s v="HD DESENGRASANTE AZUL USO RUDO"/>
        <s v="SUMA DISH DETERGENTE LAVA VAJILLAS"/>
        <s v="SUMA J-512. SANITIZANTE PARA SUPERFICIES"/>
        <s v="JABON ANTIBACTERIAL GOJO"/>
        <s v="JABON ANTIBACTERIAL PARA MANOS"/>
        <s v="LIMPIADOR ACIDO Y DESINCRUSTANTE"/>
        <s v="LIMPIADOR P PISOS CONGELADOR Y CAMARAS FRIAS"/>
        <s v="TOALLITAS DESINFECTANTES PARA MANOS PURELL"/>
        <s v="BOTE CON ATOMIZADOR PARA HD DEGREASER"/>
        <s v="SERVILLETA XPRESSNAP 12S 500HS"/>
        <s v="BOTE CON ATOMIZADOR PARA HD PLUS FOAM"/>
        <s v="BOTE CON ATOMIZADOR PARA SUMA J-512"/>
        <s v="ALPHA HP. DESINFECTANTE MULTIUSOS"/>
        <s v="BOTE CON ATOMIZADOR PARA HYPOFOAM"/>
        <s v="HD PLUS FOAM. LIMPIADOR ESPUMANTE CAUSTICO"/>
        <s v="HYPOFOAM. DETERGENTE CON CLORO"/>
        <s v="PAPEL INDICADOR PARA SUMA 5-512"/>
        <s v="SUMA EDEN. LAVADO DE VEGETALES"/>
        <s v="SUMA WHITENER. BLANQUEADOR DE TABLAS"/>
        <s v="TIRAS INDICADORAS PH PARA SUMA EDEN"/>
        <s v="JABON ANTIBACTERIAL SKINLIT T2"/>
        <s v="RED POLIESTER NEGRA CAJA 1000 PZA"/>
        <s v="TORK WIPER VERDE"/>
        <s v="DERMOLIT 70 GEL ANTIBACTERIAL"/>
        <s v="SUMA HI TEMP. LIMPIADOR PARA HORNOS Y PARRILLAS"/>
        <s v="TORK WIPER AZUL 8X40"/>
        <m/>
      </sharedItems>
    </cacheField>
    <cacheField name="UOM" numFmtId="0">
      <sharedItems containsBlank="1" count="3">
        <s v="PIEZA"/>
        <s v="CAJA"/>
        <m/>
      </sharedItems>
    </cacheField>
    <cacheField name="Quantity" numFmtId="0">
      <sharedItems containsString="0" containsBlank="1" containsNumber="1" containsInteger="1" minValue="1" maxValue="464" count="36">
        <n v="8"/>
        <n v="17"/>
        <n v="9"/>
        <n v="22"/>
        <n v="11"/>
        <n v="5"/>
        <n v="10"/>
        <n v="25"/>
        <n v="121"/>
        <n v="30"/>
        <n v="40"/>
        <n v="6"/>
        <n v="46"/>
        <n v="21"/>
        <n v="1"/>
        <n v="4"/>
        <n v="24"/>
        <n v="2"/>
        <n v="300"/>
        <n v="19"/>
        <n v="23"/>
        <n v="3"/>
        <n v="7"/>
        <n v="444"/>
        <n v="64"/>
        <n v="26"/>
        <n v="443"/>
        <n v="45"/>
        <n v="16"/>
        <n v="20"/>
        <n v="56"/>
        <n v="12"/>
        <n v="464"/>
        <n v="33"/>
        <n v="15"/>
        <m/>
      </sharedItems>
    </cacheField>
    <cacheField name="Ship To Organization" numFmtId="0">
      <sharedItems containsBlank="1" count="5">
        <s v="OI_C06 CEDIS GUADALAJARA"/>
        <s v="OI_C01 CEDIS TIJUANA"/>
        <s v="OI_C08 CEDIS HERMOSILLO MERLOT"/>
        <s v="OI_C10 CEDIS CULIACAN"/>
        <m/>
      </sharedItems>
    </cacheField>
    <cacheField name="Need By Date" numFmtId="14">
      <sharedItems containsNonDate="0" containsDate="1" containsString="0" containsBlank="1" minDate="2026-03-27T00:00:00" maxDate="2026-08-22T00:00:00"/>
    </cacheField>
    <cacheField name="Creation Date" numFmtId="14">
      <sharedItems containsNonDate="0" containsDate="1" containsString="0" containsBlank="1" minDate="2026-03-04T12:34:27" maxDate="2026-07-14T15:52:35"/>
    </cacheField>
    <cacheField name="Sem Promesa" numFmtId="0">
      <sharedItems containsString="0" containsBlank="1" containsNumber="1" containsInteger="1" minValue="12" maxValue="34" count="16">
        <n v="12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m/>
      </sharedItems>
    </cacheField>
    <cacheField name="Shipment Amount" numFmtId="0">
      <sharedItems containsString="0" containsBlank="1" containsNumber="1" minValue="0" maxValue="261876.96"/>
    </cacheField>
    <cacheField name="Authorization Status" numFmtId="0">
      <sharedItems containsBlank="1"/>
    </cacheField>
    <cacheField name="Quantity Received" numFmtId="0">
      <sharedItems containsString="0" containsBlank="1" containsNumber="1" containsInteger="1" minValue="0" maxValue="0"/>
    </cacheField>
    <cacheField name="Quantity Due" numFmtId="0">
      <sharedItems containsString="0" containsBlank="1" containsNumber="1" containsInteger="1" minValue="1" maxValue="464"/>
    </cacheField>
    <cacheField name="Quantity Billed" numFmtId="0">
      <sharedItems containsString="0" containsBlank="1" containsNumber="1" containsInteger="1" minValue="0" maxValue="0"/>
    </cacheField>
    <cacheField name="Quantity Cancelled" numFmtId="0">
      <sharedItems containsString="0" containsBlank="1" containsNumber="1" containsInteger="1" minValue="0" maxValue="0"/>
    </cacheField>
    <cacheField name="Closure Status" numFmtId="0">
      <sharedItems containsBlank="1"/>
    </cacheField>
    <cacheField name="Buyer" numFmtId="0">
      <sharedItems containsBlank="1" count="3">
        <s v="ROSAS FLORES, MARIO ALBERTO"/>
        <s v="CRUZ SANSEN, JESUS MANUEL"/>
        <m/>
      </sharedItems>
    </cacheField>
    <cacheField name="Supplier Site" numFmtId="0">
      <sharedItems containsBlank="1"/>
    </cacheField>
    <cacheField name="Line" numFmtId="0">
      <sharedItems containsString="0" containsBlank="1" containsNumber="1" containsInteger="1" minValue="1" maxValue="13"/>
    </cacheField>
    <cacheField name="Release" numFmtId="0">
      <sharedItems containsNonDate="0" containsString="0" containsBlank="1"/>
    </cacheField>
    <cacheField name="Shipment" numFmtId="0">
      <sharedItems containsString="0" containsBlank="1" containsNumber="1" containsInteger="1" minValue="1" maxValue="1"/>
    </cacheField>
    <cacheField name="Quantity Accepted" numFmtId="0">
      <sharedItems containsString="0" containsBlank="1" containsNumber="1" containsInteger="1" minValue="0" maxValue="0"/>
    </cacheField>
    <cacheField name="Quantity Rejected" numFmtId="0">
      <sharedItems containsString="0" containsBlank="1" containsNumber="1" containsInteger="1" minValue="0" maxValue="0"/>
    </cacheField>
    <cacheField name="Currency" numFmtId="0">
      <sharedItems containsBlank="1"/>
    </cacheField>
    <cacheField name="Invoice Match Option" numFmtId="0">
      <sharedItems containsBlank="1"/>
    </cacheField>
    <cacheField name="Country of Origin" numFmtId="0">
      <sharedItems containsBlank="1"/>
    </cacheField>
    <cacheField name="Ack Status" numFmtId="0">
      <sharedItems containsNonDate="0" containsString="0" containsBlank="1"/>
    </cacheField>
    <cacheField name="Ack Reason" numFmtId="0">
      <sharedItems containsNonDate="0" containsString="0" containsBlank="1"/>
    </cacheField>
    <cacheField name="[ ]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x v="0"/>
    <s v="SERVI QUIM DE MONTERREY SA DE CV"/>
    <x v="0"/>
    <x v="0"/>
    <x v="0"/>
    <x v="0"/>
    <d v="2026-03-27T00:00:00"/>
    <d v="2026-03-04T12:34:27"/>
    <x v="0"/>
    <n v="9519.2000000000007"/>
    <s v="Approved"/>
    <n v="0"/>
    <n v="8"/>
    <n v="0"/>
    <n v="0"/>
    <s v="Open"/>
    <x v="0"/>
    <s v="CORPORATIVO"/>
    <n v="1"/>
    <m/>
    <n v="1"/>
    <n v="0"/>
    <n v="0"/>
    <s v="MXN"/>
    <s v="Receipt(1)"/>
    <s v="Mexico"/>
    <m/>
    <m/>
    <m/>
  </r>
  <r>
    <x v="1"/>
    <x v="1"/>
    <x v="1"/>
    <s v="SERVI QUIM DE MONTERREY SA DE CV"/>
    <x v="1"/>
    <x v="1"/>
    <x v="1"/>
    <x v="1"/>
    <d v="2026-05-22T00:00:00"/>
    <d v="2026-05-05T12:33:10"/>
    <x v="1"/>
    <n v="10506"/>
    <s v="Approved"/>
    <n v="0"/>
    <n v="17"/>
    <n v="0"/>
    <n v="0"/>
    <s v="Open"/>
    <x v="1"/>
    <s v="CORPORATIVO"/>
    <n v="1"/>
    <m/>
    <n v="1"/>
    <n v="0"/>
    <n v="0"/>
    <s v="MXN"/>
    <s v="Receipt(1)"/>
    <s v="Mexico"/>
    <m/>
    <m/>
    <m/>
  </r>
  <r>
    <x v="1"/>
    <x v="2"/>
    <x v="2"/>
    <s v="SERVI QUIM DE MONTERREY SA DE CV"/>
    <x v="2"/>
    <x v="1"/>
    <x v="2"/>
    <x v="1"/>
    <d v="2026-05-22T00:00:00"/>
    <d v="2026-04-28T13:21:43"/>
    <x v="1"/>
    <n v="5562"/>
    <s v="Approved"/>
    <n v="0"/>
    <n v="9"/>
    <n v="0"/>
    <n v="0"/>
    <s v="Open"/>
    <x v="1"/>
    <s v="CORPORATIVO"/>
    <n v="2"/>
    <m/>
    <n v="1"/>
    <n v="0"/>
    <n v="0"/>
    <s v="MXN"/>
    <s v="Receipt(1)"/>
    <s v="Mexico"/>
    <m/>
    <m/>
    <m/>
  </r>
  <r>
    <x v="1"/>
    <x v="2"/>
    <x v="3"/>
    <s v="SERVI QUIM DE MONTERREY SA DE CV"/>
    <x v="3"/>
    <x v="1"/>
    <x v="3"/>
    <x v="1"/>
    <d v="2026-05-22T00:00:00"/>
    <d v="2026-04-28T13:21:43"/>
    <x v="1"/>
    <n v="13596"/>
    <s v="Approved"/>
    <n v="0"/>
    <n v="22"/>
    <n v="0"/>
    <n v="0"/>
    <s v="Open"/>
    <x v="1"/>
    <s v="CORPORATIVO"/>
    <n v="3"/>
    <m/>
    <n v="1"/>
    <n v="0"/>
    <n v="0"/>
    <s v="MXN"/>
    <s v="Receipt(1)"/>
    <s v="Mexico"/>
    <m/>
    <m/>
    <m/>
  </r>
  <r>
    <x v="1"/>
    <x v="2"/>
    <x v="1"/>
    <s v="SERVI QUIM DE MONTERREY SA DE CV"/>
    <x v="1"/>
    <x v="1"/>
    <x v="3"/>
    <x v="1"/>
    <d v="2026-05-22T00:00:00"/>
    <d v="2026-04-28T13:21:43"/>
    <x v="1"/>
    <n v="13596"/>
    <s v="Approved"/>
    <n v="0"/>
    <n v="22"/>
    <n v="0"/>
    <n v="0"/>
    <s v="Open"/>
    <x v="1"/>
    <s v="CORPORATIVO"/>
    <n v="4"/>
    <m/>
    <n v="1"/>
    <n v="0"/>
    <n v="0"/>
    <s v="MXN"/>
    <s v="Receipt(1)"/>
    <s v="Mexico"/>
    <m/>
    <m/>
    <m/>
  </r>
  <r>
    <x v="1"/>
    <x v="3"/>
    <x v="2"/>
    <s v="SERVI QUIM DE MONTERREY SA DE CV"/>
    <x v="2"/>
    <x v="1"/>
    <x v="0"/>
    <x v="0"/>
    <d v="2026-05-22T00:00:00"/>
    <d v="2026-04-28T12:53:23"/>
    <x v="1"/>
    <n v="4944"/>
    <s v="Approved"/>
    <n v="0"/>
    <n v="8"/>
    <n v="0"/>
    <n v="0"/>
    <s v="Open"/>
    <x v="1"/>
    <s v="CORPORATIVO"/>
    <n v="2"/>
    <m/>
    <n v="1"/>
    <n v="0"/>
    <n v="0"/>
    <s v="MXN"/>
    <s v="Receipt(1)"/>
    <s v="Mexico"/>
    <m/>
    <m/>
    <m/>
  </r>
  <r>
    <x v="1"/>
    <x v="3"/>
    <x v="3"/>
    <s v="SERVI QUIM DE MONTERREY SA DE CV"/>
    <x v="3"/>
    <x v="1"/>
    <x v="4"/>
    <x v="0"/>
    <d v="2026-05-22T00:00:00"/>
    <d v="2026-04-28T12:53:23"/>
    <x v="1"/>
    <n v="6798"/>
    <s v="Approved"/>
    <n v="0"/>
    <n v="11"/>
    <n v="0"/>
    <n v="0"/>
    <s v="Open"/>
    <x v="1"/>
    <s v="CORPORATIVO"/>
    <n v="3"/>
    <m/>
    <n v="1"/>
    <n v="0"/>
    <n v="0"/>
    <s v="MXN"/>
    <s v="Receipt(1)"/>
    <s v="Mexico"/>
    <m/>
    <m/>
    <m/>
  </r>
  <r>
    <x v="1"/>
    <x v="3"/>
    <x v="1"/>
    <s v="SERVI QUIM DE MONTERREY SA DE CV"/>
    <x v="1"/>
    <x v="1"/>
    <x v="0"/>
    <x v="0"/>
    <d v="2026-05-22T00:00:00"/>
    <d v="2026-04-28T12:53:23"/>
    <x v="1"/>
    <n v="4944"/>
    <s v="Approved"/>
    <n v="0"/>
    <n v="8"/>
    <n v="0"/>
    <n v="0"/>
    <s v="Open"/>
    <x v="1"/>
    <s v="CORPORATIVO"/>
    <n v="4"/>
    <m/>
    <n v="1"/>
    <n v="0"/>
    <n v="0"/>
    <s v="MXN"/>
    <s v="Receipt(1)"/>
    <s v="Mexico"/>
    <m/>
    <m/>
    <m/>
  </r>
  <r>
    <x v="1"/>
    <x v="4"/>
    <x v="0"/>
    <s v="SERVI QUIM DE MONTERREY SA DE CV"/>
    <x v="0"/>
    <x v="0"/>
    <x v="5"/>
    <x v="1"/>
    <d v="2026-05-22T00:00:00"/>
    <d v="2026-04-14T09:52:49"/>
    <x v="1"/>
    <n v="5949.5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2"/>
    <x v="5"/>
    <x v="4"/>
    <s v="SERVI QUIM DE MONTERREY SA DE CV"/>
    <x v="4"/>
    <x v="1"/>
    <x v="4"/>
    <x v="1"/>
    <d v="2026-05-29T00:00:00"/>
    <d v="2026-05-19T18:31:51"/>
    <x v="2"/>
    <n v="6969.6"/>
    <s v="Approved"/>
    <n v="0"/>
    <n v="11"/>
    <n v="0"/>
    <n v="0"/>
    <s v="Open"/>
    <x v="1"/>
    <s v="CORPORATIVO"/>
    <n v="1"/>
    <m/>
    <n v="1"/>
    <n v="0"/>
    <n v="0"/>
    <s v="MXN"/>
    <s v="Receipt(1)"/>
    <s v="Mexico"/>
    <m/>
    <m/>
    <m/>
  </r>
  <r>
    <x v="2"/>
    <x v="5"/>
    <x v="5"/>
    <s v="SERVI QUIM DE MONTERREY SA DE CV"/>
    <x v="5"/>
    <x v="1"/>
    <x v="6"/>
    <x v="1"/>
    <d v="2026-05-29T00:00:00"/>
    <d v="2026-05-19T18:31:51"/>
    <x v="2"/>
    <n v="11125.7"/>
    <s v="Approved"/>
    <n v="0"/>
    <n v="10"/>
    <n v="0"/>
    <n v="0"/>
    <s v="Open"/>
    <x v="1"/>
    <s v="CORPORATIVO"/>
    <n v="2"/>
    <m/>
    <n v="1"/>
    <n v="0"/>
    <n v="0"/>
    <s v="MXN"/>
    <s v="Receipt(1)"/>
    <s v="Mexico"/>
    <m/>
    <m/>
    <m/>
  </r>
  <r>
    <x v="2"/>
    <x v="5"/>
    <x v="6"/>
    <s v="SERVI QUIM DE MONTERREY SA DE CV"/>
    <x v="6"/>
    <x v="1"/>
    <x v="7"/>
    <x v="1"/>
    <d v="2026-05-29T00:00:00"/>
    <d v="2026-05-19T18:31:51"/>
    <x v="2"/>
    <n v="23375"/>
    <s v="Approved"/>
    <n v="0"/>
    <n v="25"/>
    <n v="0"/>
    <n v="0"/>
    <s v="Open"/>
    <x v="1"/>
    <s v="CORPORATIVO"/>
    <n v="4"/>
    <m/>
    <n v="1"/>
    <n v="0"/>
    <n v="0"/>
    <s v="MXN"/>
    <s v="Receipt(1)"/>
    <s v="Mexico"/>
    <m/>
    <m/>
    <m/>
  </r>
  <r>
    <x v="2"/>
    <x v="5"/>
    <x v="6"/>
    <s v="SERVI QUIM DE MONTERREY SA DE CV"/>
    <x v="6"/>
    <x v="1"/>
    <x v="8"/>
    <x v="1"/>
    <d v="2026-05-29T00:00:00"/>
    <d v="2026-05-19T18:31:51"/>
    <x v="2"/>
    <n v="113135"/>
    <s v="Approved"/>
    <n v="0"/>
    <n v="121"/>
    <n v="0"/>
    <n v="0"/>
    <s v="Open"/>
    <x v="1"/>
    <s v="CORPORATIVO"/>
    <n v="5"/>
    <m/>
    <n v="1"/>
    <n v="0"/>
    <n v="0"/>
    <s v="MXN"/>
    <s v="Receipt(1)"/>
    <s v="Mexico"/>
    <m/>
    <m/>
    <m/>
  </r>
  <r>
    <x v="2"/>
    <x v="5"/>
    <x v="7"/>
    <s v="SERVI QUIM DE MONTERREY SA DE CV"/>
    <x v="7"/>
    <x v="1"/>
    <x v="9"/>
    <x v="1"/>
    <d v="2026-05-29T00:00:00"/>
    <d v="2026-05-19T18:31:51"/>
    <x v="2"/>
    <n v="75900"/>
    <s v="Approved"/>
    <n v="0"/>
    <n v="30"/>
    <n v="0"/>
    <n v="0"/>
    <s v="Open"/>
    <x v="1"/>
    <s v="CORPORATIVO"/>
    <n v="6"/>
    <m/>
    <n v="1"/>
    <n v="0"/>
    <n v="0"/>
    <s v="MXN"/>
    <s v="Receipt(1)"/>
    <s v="Mexico"/>
    <m/>
    <m/>
    <m/>
  </r>
  <r>
    <x v="2"/>
    <x v="5"/>
    <x v="7"/>
    <s v="SERVI QUIM DE MONTERREY SA DE CV"/>
    <x v="7"/>
    <x v="1"/>
    <x v="10"/>
    <x v="1"/>
    <d v="2026-05-29T00:00:00"/>
    <d v="2026-05-19T18:31:51"/>
    <x v="2"/>
    <n v="101200"/>
    <s v="Approved"/>
    <n v="0"/>
    <n v="40"/>
    <n v="0"/>
    <n v="0"/>
    <s v="Open"/>
    <x v="1"/>
    <s v="CORPORATIVO"/>
    <n v="7"/>
    <m/>
    <n v="1"/>
    <n v="0"/>
    <n v="0"/>
    <s v="MXN"/>
    <s v="Receipt(1)"/>
    <s v="Mexico"/>
    <m/>
    <m/>
    <m/>
  </r>
  <r>
    <x v="2"/>
    <x v="6"/>
    <x v="4"/>
    <s v="SERVI QUIM DE MONTERREY SA DE CV"/>
    <x v="4"/>
    <x v="1"/>
    <x v="11"/>
    <x v="0"/>
    <d v="2026-05-29T00:00:00"/>
    <d v="2026-05-19T16:38:07"/>
    <x v="2"/>
    <n v="3456"/>
    <s v="Approved"/>
    <n v="0"/>
    <n v="6"/>
    <n v="0"/>
    <n v="0"/>
    <s v="Open"/>
    <x v="1"/>
    <s v="CORPORATIVO"/>
    <n v="1"/>
    <m/>
    <n v="1"/>
    <n v="0"/>
    <n v="0"/>
    <s v="MXN"/>
    <s v="Receipt(1)"/>
    <s v="Mexico"/>
    <m/>
    <m/>
    <m/>
  </r>
  <r>
    <x v="2"/>
    <x v="6"/>
    <x v="8"/>
    <s v="SERVI QUIM DE MONTERREY SA DE CV"/>
    <x v="8"/>
    <x v="1"/>
    <x v="12"/>
    <x v="0"/>
    <d v="2026-05-29T00:00:00"/>
    <d v="2026-05-19T16:38:07"/>
    <x v="2"/>
    <n v="25852"/>
    <s v="Approved"/>
    <n v="0"/>
    <n v="46"/>
    <n v="0"/>
    <n v="0"/>
    <s v="Open"/>
    <x v="1"/>
    <s v="CORPORATIVO"/>
    <n v="2"/>
    <m/>
    <n v="1"/>
    <n v="0"/>
    <n v="0"/>
    <s v="MXN"/>
    <s v="Receipt(1)"/>
    <s v="Mexico"/>
    <m/>
    <m/>
    <m/>
  </r>
  <r>
    <x v="2"/>
    <x v="6"/>
    <x v="9"/>
    <s v="SERVI QUIM DE MONTERREY SA DE CV"/>
    <x v="9"/>
    <x v="1"/>
    <x v="13"/>
    <x v="0"/>
    <d v="2026-05-29T00:00:00"/>
    <d v="2026-05-19T16:38:07"/>
    <x v="2"/>
    <n v="19511.939999999999"/>
    <s v="Approved"/>
    <n v="0"/>
    <n v="21"/>
    <n v="0"/>
    <n v="0"/>
    <s v="Open"/>
    <x v="1"/>
    <s v="CORPORATIVO"/>
    <n v="3"/>
    <m/>
    <n v="1"/>
    <n v="0"/>
    <n v="0"/>
    <s v="MXN"/>
    <s v="Receipt(1)"/>
    <s v="Mexico"/>
    <m/>
    <m/>
    <m/>
  </r>
  <r>
    <x v="2"/>
    <x v="6"/>
    <x v="0"/>
    <s v="SERVI QUIM DE MONTERREY SA DE CV"/>
    <x v="0"/>
    <x v="0"/>
    <x v="5"/>
    <x v="0"/>
    <d v="2026-05-29T00:00:00"/>
    <d v="2026-05-19T16:38:07"/>
    <x v="2"/>
    <n v="0"/>
    <s v="Approved"/>
    <n v="0"/>
    <n v="5"/>
    <n v="0"/>
    <n v="0"/>
    <s v="Open"/>
    <x v="1"/>
    <s v="CORPORATIVO"/>
    <n v="4"/>
    <m/>
    <n v="1"/>
    <n v="0"/>
    <n v="0"/>
    <s v="MXN"/>
    <s v="Receipt(1)"/>
    <s v="Mexico"/>
    <m/>
    <m/>
    <m/>
  </r>
  <r>
    <x v="2"/>
    <x v="6"/>
    <x v="10"/>
    <s v="SERVI QUIM DE MONTERREY SA DE CV"/>
    <x v="10"/>
    <x v="1"/>
    <x v="14"/>
    <x v="0"/>
    <d v="2026-05-29T00:00:00"/>
    <d v="2026-05-19T16:38:07"/>
    <x v="2"/>
    <n v="547.5"/>
    <s v="Approved"/>
    <n v="0"/>
    <n v="1"/>
    <n v="0"/>
    <n v="0"/>
    <s v="Open"/>
    <x v="1"/>
    <s v="CORPORATIVO"/>
    <n v="5"/>
    <m/>
    <n v="1"/>
    <n v="0"/>
    <n v="0"/>
    <s v="MXN"/>
    <s v="Receipt(1)"/>
    <s v="Mexico"/>
    <m/>
    <m/>
    <m/>
  </r>
  <r>
    <x v="2"/>
    <x v="6"/>
    <x v="11"/>
    <s v="SERVI QUIM DE MONTERREY SA DE CV"/>
    <x v="11"/>
    <x v="1"/>
    <x v="14"/>
    <x v="0"/>
    <d v="2026-05-29T00:00:00"/>
    <d v="2026-05-19T16:38:07"/>
    <x v="2"/>
    <n v="2687.95"/>
    <s v="Approved"/>
    <n v="0"/>
    <n v="1"/>
    <n v="0"/>
    <n v="0"/>
    <s v="Open"/>
    <x v="1"/>
    <s v="CORPORATIVO"/>
    <n v="6"/>
    <m/>
    <n v="1"/>
    <n v="0"/>
    <n v="0"/>
    <s v="MXN"/>
    <s v="Receipt(1)"/>
    <s v="Mexico"/>
    <m/>
    <m/>
    <m/>
  </r>
  <r>
    <x v="2"/>
    <x v="6"/>
    <x v="7"/>
    <s v="SERVI QUIM DE MONTERREY SA DE CV"/>
    <x v="7"/>
    <x v="1"/>
    <x v="14"/>
    <x v="0"/>
    <d v="2026-05-29T00:00:00"/>
    <d v="2026-05-19T16:38:07"/>
    <x v="2"/>
    <n v="2300"/>
    <s v="Approved"/>
    <n v="0"/>
    <n v="1"/>
    <n v="0"/>
    <n v="0"/>
    <s v="Open"/>
    <x v="1"/>
    <s v="CORPORATIVO"/>
    <n v="7"/>
    <m/>
    <n v="1"/>
    <n v="0"/>
    <n v="0"/>
    <s v="MXN"/>
    <s v="Receipt(1)"/>
    <s v="Mexico"/>
    <m/>
    <m/>
    <m/>
  </r>
  <r>
    <x v="2"/>
    <x v="6"/>
    <x v="3"/>
    <s v="SERVI QUIM DE MONTERREY SA DE CV"/>
    <x v="3"/>
    <x v="1"/>
    <x v="2"/>
    <x v="0"/>
    <d v="2026-05-29T00:00:00"/>
    <d v="2026-05-19T16:38:07"/>
    <x v="2"/>
    <n v="5562"/>
    <s v="Approved"/>
    <n v="0"/>
    <n v="9"/>
    <n v="0"/>
    <n v="0"/>
    <s v="Open"/>
    <x v="1"/>
    <s v="CORPORATIVO"/>
    <n v="8"/>
    <m/>
    <n v="1"/>
    <n v="0"/>
    <n v="0"/>
    <s v="MXN"/>
    <s v="Receipt(1)"/>
    <s v="Mexico"/>
    <m/>
    <m/>
    <m/>
  </r>
  <r>
    <x v="2"/>
    <x v="6"/>
    <x v="1"/>
    <s v="SERVI QUIM DE MONTERREY SA DE CV"/>
    <x v="1"/>
    <x v="1"/>
    <x v="4"/>
    <x v="0"/>
    <d v="2026-05-29T00:00:00"/>
    <d v="2026-05-19T16:38:07"/>
    <x v="2"/>
    <n v="6798"/>
    <s v="Approved"/>
    <n v="0"/>
    <n v="11"/>
    <n v="0"/>
    <n v="0"/>
    <s v="Open"/>
    <x v="1"/>
    <s v="CORPORATIVO"/>
    <n v="9"/>
    <m/>
    <n v="1"/>
    <n v="0"/>
    <n v="0"/>
    <s v="MXN"/>
    <s v="Receipt(1)"/>
    <s v="Mexico"/>
    <m/>
    <m/>
    <m/>
  </r>
  <r>
    <x v="2"/>
    <x v="6"/>
    <x v="12"/>
    <s v="SERVI QUIM DE MONTERREY SA DE CV"/>
    <x v="12"/>
    <x v="1"/>
    <x v="15"/>
    <x v="0"/>
    <d v="2026-05-29T00:00:00"/>
    <d v="2026-05-19T16:38:07"/>
    <x v="2"/>
    <n v="3440"/>
    <s v="Approved"/>
    <n v="0"/>
    <n v="4"/>
    <n v="0"/>
    <n v="0"/>
    <s v="Open"/>
    <x v="1"/>
    <s v="CORPORATIVO"/>
    <n v="10"/>
    <m/>
    <n v="1"/>
    <n v="0"/>
    <n v="0"/>
    <s v="MXN"/>
    <s v="Receipt(1)"/>
    <s v="Mexico"/>
    <m/>
    <m/>
    <m/>
  </r>
  <r>
    <x v="2"/>
    <x v="7"/>
    <x v="0"/>
    <s v="SERVI QUIM DE MONTERREY SA DE CV"/>
    <x v="0"/>
    <x v="0"/>
    <x v="16"/>
    <x v="0"/>
    <d v="2026-05-29T00:00:00"/>
    <d v="2026-05-19T12:20:09"/>
    <x v="2"/>
    <n v="31413.360000000001"/>
    <s v="Approved"/>
    <n v="0"/>
    <n v="24"/>
    <n v="0"/>
    <n v="0"/>
    <s v="Open"/>
    <x v="1"/>
    <s v="CORPORATIVO"/>
    <n v="1"/>
    <m/>
    <n v="1"/>
    <n v="0"/>
    <n v="0"/>
    <s v="MXN"/>
    <s v="Receipt(1)"/>
    <s v="Mexico"/>
    <m/>
    <m/>
    <m/>
  </r>
  <r>
    <x v="3"/>
    <x v="8"/>
    <x v="13"/>
    <s v="SERVI QUIM DE MONTERREY SA DE CV"/>
    <x v="13"/>
    <x v="0"/>
    <x v="17"/>
    <x v="0"/>
    <d v="2026-06-05T00:00:00"/>
    <d v="2026-05-05T12:34:45"/>
    <x v="3"/>
    <n v="96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4"/>
    <x v="9"/>
    <x v="14"/>
    <s v="SERVI QUIM DE MONTERREY SA DE CV"/>
    <x v="14"/>
    <x v="1"/>
    <x v="18"/>
    <x v="0"/>
    <d v="2026-06-12T00:00:00"/>
    <d v="2026-05-26T12:22:22"/>
    <x v="4"/>
    <n v="162804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4"/>
    <x v="10"/>
    <x v="13"/>
    <s v="SERVI QUIM DE MONTERREY SA DE CV"/>
    <x v="13"/>
    <x v="0"/>
    <x v="14"/>
    <x v="0"/>
    <d v="2026-06-12T00:00:00"/>
    <d v="2026-05-26T12:13:12"/>
    <x v="4"/>
    <n v="44.5"/>
    <s v="Approved"/>
    <n v="0"/>
    <n v="1"/>
    <n v="0"/>
    <n v="0"/>
    <s v="Open"/>
    <x v="1"/>
    <s v="CORPORATIVO"/>
    <n v="1"/>
    <m/>
    <n v="1"/>
    <n v="0"/>
    <n v="0"/>
    <s v="MXN"/>
    <s v="Receipt(1)"/>
    <s v="Mexico"/>
    <m/>
    <m/>
    <m/>
  </r>
  <r>
    <x v="4"/>
    <x v="10"/>
    <x v="15"/>
    <s v="SERVI QUIM DE MONTERREY SA DE CV"/>
    <x v="15"/>
    <x v="0"/>
    <x v="14"/>
    <x v="0"/>
    <d v="2026-06-12T00:00:00"/>
    <d v="2026-05-26T12:13:12"/>
    <x v="4"/>
    <n v="44.5"/>
    <s v="Approved"/>
    <n v="0"/>
    <n v="1"/>
    <n v="0"/>
    <n v="0"/>
    <s v="Open"/>
    <x v="1"/>
    <s v="CORPORATIVO"/>
    <n v="2"/>
    <m/>
    <n v="1"/>
    <n v="0"/>
    <n v="0"/>
    <s v="MXN"/>
    <s v="Receipt(1)"/>
    <s v="Mexico"/>
    <m/>
    <m/>
    <m/>
  </r>
  <r>
    <x v="4"/>
    <x v="10"/>
    <x v="16"/>
    <s v="SERVI QUIM DE MONTERREY SA DE CV"/>
    <x v="16"/>
    <x v="0"/>
    <x v="14"/>
    <x v="0"/>
    <d v="2026-06-12T00:00:00"/>
    <d v="2026-05-26T12:13:12"/>
    <x v="4"/>
    <n v="44.5"/>
    <s v="Approved"/>
    <n v="0"/>
    <n v="1"/>
    <n v="0"/>
    <n v="0"/>
    <s v="Open"/>
    <x v="1"/>
    <s v="CORPORATIVO"/>
    <n v="3"/>
    <m/>
    <n v="1"/>
    <n v="0"/>
    <n v="0"/>
    <s v="MXN"/>
    <s v="Receipt(1)"/>
    <s v="Mexico"/>
    <m/>
    <m/>
    <m/>
  </r>
  <r>
    <x v="5"/>
    <x v="11"/>
    <x v="6"/>
    <s v="SERVI QUIM DE MONTERREY SA DE CV"/>
    <x v="6"/>
    <x v="1"/>
    <x v="10"/>
    <x v="0"/>
    <d v="2026-06-19T00:00:00"/>
    <d v="2026-06-10T09:51:19"/>
    <x v="5"/>
    <n v="34000"/>
    <s v="Approved"/>
    <n v="0"/>
    <n v="40"/>
    <n v="0"/>
    <n v="0"/>
    <s v="Open"/>
    <x v="1"/>
    <s v="CORPORATIVO"/>
    <n v="1"/>
    <m/>
    <n v="1"/>
    <n v="0"/>
    <n v="0"/>
    <s v="MXN"/>
    <s v="Receipt(1)"/>
    <s v="Mexico"/>
    <m/>
    <m/>
    <m/>
  </r>
  <r>
    <x v="5"/>
    <x v="12"/>
    <x v="17"/>
    <s v="SERVI QUIM DE MONTERREY SA DE CV"/>
    <x v="17"/>
    <x v="1"/>
    <x v="14"/>
    <x v="0"/>
    <d v="2026-06-19T00:00:00"/>
    <d v="2026-05-19T16:36:36"/>
    <x v="5"/>
    <n v="1700"/>
    <s v="Approved"/>
    <n v="0"/>
    <n v="1"/>
    <n v="0"/>
    <n v="0"/>
    <s v="Open"/>
    <x v="1"/>
    <s v="CORPORATIVO"/>
    <n v="1"/>
    <m/>
    <n v="1"/>
    <n v="0"/>
    <n v="0"/>
    <s v="MXN"/>
    <s v="Receipt(1)"/>
    <s v="Mexico"/>
    <m/>
    <m/>
    <m/>
  </r>
  <r>
    <x v="5"/>
    <x v="12"/>
    <x v="13"/>
    <s v="SERVI QUIM DE MONTERREY SA DE CV"/>
    <x v="13"/>
    <x v="0"/>
    <x v="14"/>
    <x v="0"/>
    <d v="2026-06-19T00:00:00"/>
    <d v="2026-05-19T16:36:36"/>
    <x v="5"/>
    <n v="44.5"/>
    <s v="Approved"/>
    <n v="0"/>
    <n v="1"/>
    <n v="0"/>
    <n v="0"/>
    <s v="Open"/>
    <x v="1"/>
    <s v="CORPORATIVO"/>
    <n v="2"/>
    <m/>
    <n v="1"/>
    <n v="0"/>
    <n v="0"/>
    <s v="MXN"/>
    <s v="Receipt(1)"/>
    <s v="Mexico"/>
    <m/>
    <m/>
    <m/>
  </r>
  <r>
    <x v="5"/>
    <x v="12"/>
    <x v="15"/>
    <s v="SERVI QUIM DE MONTERREY SA DE CV"/>
    <x v="15"/>
    <x v="0"/>
    <x v="14"/>
    <x v="0"/>
    <d v="2026-06-19T00:00:00"/>
    <d v="2026-05-19T16:36:36"/>
    <x v="5"/>
    <n v="44.5"/>
    <s v="Approved"/>
    <n v="0"/>
    <n v="1"/>
    <n v="0"/>
    <n v="0"/>
    <s v="Open"/>
    <x v="1"/>
    <s v="CORPORATIVO"/>
    <n v="3"/>
    <m/>
    <n v="1"/>
    <n v="0"/>
    <n v="0"/>
    <s v="MXN"/>
    <s v="Receipt(1)"/>
    <s v="Mexico"/>
    <m/>
    <m/>
    <m/>
  </r>
  <r>
    <x v="5"/>
    <x v="12"/>
    <x v="18"/>
    <s v="SERVI QUIM DE MONTERREY SA DE CV"/>
    <x v="18"/>
    <x v="0"/>
    <x v="14"/>
    <x v="0"/>
    <d v="2026-06-19T00:00:00"/>
    <d v="2026-05-19T16:36:36"/>
    <x v="5"/>
    <n v="44.5"/>
    <s v="Approved"/>
    <n v="0"/>
    <n v="1"/>
    <n v="0"/>
    <n v="0"/>
    <s v="Open"/>
    <x v="1"/>
    <s v="CORPORATIVO"/>
    <n v="4"/>
    <m/>
    <n v="1"/>
    <n v="0"/>
    <n v="0"/>
    <s v="MXN"/>
    <s v="Receipt(1)"/>
    <s v="Mexico"/>
    <m/>
    <m/>
    <m/>
  </r>
  <r>
    <x v="5"/>
    <x v="12"/>
    <x v="16"/>
    <s v="SERVI QUIM DE MONTERREY SA DE CV"/>
    <x v="16"/>
    <x v="0"/>
    <x v="14"/>
    <x v="0"/>
    <d v="2026-06-19T00:00:00"/>
    <d v="2026-05-19T16:36:36"/>
    <x v="5"/>
    <n v="44.5"/>
    <s v="Approved"/>
    <n v="0"/>
    <n v="1"/>
    <n v="0"/>
    <n v="0"/>
    <s v="Open"/>
    <x v="1"/>
    <s v="CORPORATIVO"/>
    <n v="5"/>
    <m/>
    <n v="1"/>
    <n v="0"/>
    <n v="0"/>
    <s v="MXN"/>
    <s v="Receipt(1)"/>
    <s v="Mexico"/>
    <m/>
    <m/>
    <m/>
  </r>
  <r>
    <x v="5"/>
    <x v="12"/>
    <x v="19"/>
    <s v="SERVI QUIM DE MONTERREY SA DE CV"/>
    <x v="19"/>
    <x v="1"/>
    <x v="14"/>
    <x v="0"/>
    <d v="2026-06-19T00:00:00"/>
    <d v="2026-05-19T16:36:36"/>
    <x v="5"/>
    <n v="1529.33"/>
    <s v="Approved"/>
    <n v="0"/>
    <n v="1"/>
    <n v="0"/>
    <n v="0"/>
    <s v="Open"/>
    <x v="1"/>
    <s v="CORPORATIVO"/>
    <n v="6"/>
    <m/>
    <n v="1"/>
    <n v="0"/>
    <n v="0"/>
    <s v="MXN"/>
    <s v="Receipt(1)"/>
    <s v="Mexico"/>
    <m/>
    <m/>
    <m/>
  </r>
  <r>
    <x v="5"/>
    <x v="12"/>
    <x v="20"/>
    <s v="SERVI QUIM DE MONTERREY SA DE CV"/>
    <x v="20"/>
    <x v="1"/>
    <x v="14"/>
    <x v="0"/>
    <d v="2026-06-19T00:00:00"/>
    <d v="2026-05-19T16:36:36"/>
    <x v="5"/>
    <n v="1426"/>
    <s v="Approved"/>
    <n v="0"/>
    <n v="1"/>
    <n v="0"/>
    <n v="0"/>
    <s v="Open"/>
    <x v="1"/>
    <s v="CORPORATIVO"/>
    <n v="7"/>
    <m/>
    <n v="1"/>
    <n v="0"/>
    <n v="0"/>
    <s v="MXN"/>
    <s v="Receipt(1)"/>
    <s v="Mexico"/>
    <m/>
    <m/>
    <m/>
  </r>
  <r>
    <x v="5"/>
    <x v="12"/>
    <x v="21"/>
    <s v="SERVI QUIM DE MONTERREY SA DE CV"/>
    <x v="21"/>
    <x v="0"/>
    <x v="14"/>
    <x v="0"/>
    <d v="2026-06-19T00:00:00"/>
    <d v="2026-05-19T16:36:36"/>
    <x v="5"/>
    <n v="203"/>
    <s v="Approved"/>
    <n v="0"/>
    <n v="1"/>
    <n v="0"/>
    <n v="0"/>
    <s v="Open"/>
    <x v="1"/>
    <s v="CORPORATIVO"/>
    <n v="8"/>
    <m/>
    <n v="1"/>
    <n v="0"/>
    <n v="0"/>
    <s v="MXN"/>
    <s v="Receipt(1)"/>
    <s v="Mexico"/>
    <m/>
    <m/>
    <m/>
  </r>
  <r>
    <x v="5"/>
    <x v="12"/>
    <x v="6"/>
    <s v="SERVI QUIM DE MONTERREY SA DE CV"/>
    <x v="6"/>
    <x v="1"/>
    <x v="14"/>
    <x v="0"/>
    <d v="2026-06-19T00:00:00"/>
    <d v="2026-05-19T16:36:36"/>
    <x v="5"/>
    <n v="850"/>
    <s v="Approved"/>
    <n v="0"/>
    <n v="1"/>
    <n v="0"/>
    <n v="0"/>
    <s v="Open"/>
    <x v="1"/>
    <s v="CORPORATIVO"/>
    <n v="9"/>
    <m/>
    <n v="1"/>
    <n v="0"/>
    <n v="0"/>
    <s v="MXN"/>
    <s v="Receipt(1)"/>
    <s v="Mexico"/>
    <m/>
    <m/>
    <m/>
  </r>
  <r>
    <x v="5"/>
    <x v="12"/>
    <x v="22"/>
    <s v="SERVI QUIM DE MONTERREY SA DE CV"/>
    <x v="22"/>
    <x v="1"/>
    <x v="14"/>
    <x v="0"/>
    <d v="2026-06-19T00:00:00"/>
    <d v="2026-05-19T16:36:36"/>
    <x v="5"/>
    <n v="1328"/>
    <s v="Approved"/>
    <n v="0"/>
    <n v="1"/>
    <n v="0"/>
    <n v="0"/>
    <s v="Open"/>
    <x v="1"/>
    <s v="CORPORATIVO"/>
    <n v="10"/>
    <m/>
    <n v="1"/>
    <n v="0"/>
    <n v="0"/>
    <s v="MXN"/>
    <s v="Receipt(1)"/>
    <s v="Mexico"/>
    <m/>
    <m/>
    <m/>
  </r>
  <r>
    <x v="5"/>
    <x v="12"/>
    <x v="23"/>
    <s v="SERVI QUIM DE MONTERREY SA DE CV"/>
    <x v="23"/>
    <x v="1"/>
    <x v="14"/>
    <x v="0"/>
    <d v="2026-06-19T00:00:00"/>
    <d v="2026-05-19T16:36:36"/>
    <x v="5"/>
    <n v="1700"/>
    <s v="Approved"/>
    <n v="0"/>
    <n v="1"/>
    <n v="0"/>
    <n v="0"/>
    <s v="Open"/>
    <x v="1"/>
    <s v="CORPORATIVO"/>
    <n v="11"/>
    <m/>
    <n v="1"/>
    <n v="0"/>
    <n v="0"/>
    <s v="MXN"/>
    <s v="Receipt(1)"/>
    <s v="Mexico"/>
    <m/>
    <m/>
    <m/>
  </r>
  <r>
    <x v="5"/>
    <x v="12"/>
    <x v="24"/>
    <s v="SERVI QUIM DE MONTERREY SA DE CV"/>
    <x v="24"/>
    <x v="0"/>
    <x v="14"/>
    <x v="0"/>
    <d v="2026-06-19T00:00:00"/>
    <d v="2026-05-19T16:36:36"/>
    <x v="5"/>
    <n v="530"/>
    <s v="Approved"/>
    <n v="0"/>
    <n v="1"/>
    <n v="0"/>
    <n v="0"/>
    <s v="Open"/>
    <x v="1"/>
    <s v="CORPORATIVO"/>
    <n v="12"/>
    <m/>
    <n v="1"/>
    <n v="0"/>
    <n v="0"/>
    <s v="MXN"/>
    <s v="Receipt(1)"/>
    <s v="Mexico"/>
    <m/>
    <m/>
    <m/>
  </r>
  <r>
    <x v="5"/>
    <x v="12"/>
    <x v="2"/>
    <s v="SERVI QUIM DE MONTERREY SA DE CV"/>
    <x v="2"/>
    <x v="1"/>
    <x v="2"/>
    <x v="0"/>
    <d v="2026-06-19T00:00:00"/>
    <d v="2026-05-19T16:36:36"/>
    <x v="5"/>
    <n v="5562"/>
    <s v="Approved"/>
    <n v="0"/>
    <n v="9"/>
    <n v="0"/>
    <n v="0"/>
    <s v="Open"/>
    <x v="1"/>
    <s v="CORPORATIVO"/>
    <n v="13"/>
    <m/>
    <n v="1"/>
    <n v="0"/>
    <n v="0"/>
    <s v="MXN"/>
    <s v="Receipt(1)"/>
    <s v="Mexico"/>
    <m/>
    <m/>
    <m/>
  </r>
  <r>
    <x v="6"/>
    <x v="13"/>
    <x v="20"/>
    <s v="SERVI QUIM DE MONTERREY SA DE CV"/>
    <x v="20"/>
    <x v="1"/>
    <x v="17"/>
    <x v="2"/>
    <d v="2026-06-26T00:00:00"/>
    <d v="2026-06-18T11:31:13"/>
    <x v="6"/>
    <n v="313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6"/>
    <x v="13"/>
    <x v="25"/>
    <s v="SERVI QUIM DE MONTERREY SA DE CV"/>
    <x v="25"/>
    <x v="1"/>
    <x v="14"/>
    <x v="2"/>
    <d v="2026-06-26T00:00:00"/>
    <d v="2026-06-18T11:31:13"/>
    <x v="6"/>
    <n v="1920"/>
    <s v="Approved"/>
    <n v="0"/>
    <n v="1"/>
    <n v="0"/>
    <n v="0"/>
    <s v="Open"/>
    <x v="1"/>
    <s v="CORPORATIVO"/>
    <n v="2"/>
    <m/>
    <n v="1"/>
    <n v="0"/>
    <n v="0"/>
    <s v="MXN"/>
    <s v="Receipt(1)"/>
    <s v="Mexico"/>
    <m/>
    <m/>
    <m/>
  </r>
  <r>
    <x v="7"/>
    <x v="14"/>
    <x v="3"/>
    <s v="SERVI QUIM DE MONTERREY SA DE CV"/>
    <x v="3"/>
    <x v="1"/>
    <x v="16"/>
    <x v="1"/>
    <d v="2026-05-15T00:00:00"/>
    <d v="2026-04-28T14:13:05"/>
    <x v="6"/>
    <n v="14832"/>
    <s v="Approved"/>
    <n v="0"/>
    <n v="24"/>
    <n v="0"/>
    <n v="0"/>
    <s v="Open"/>
    <x v="1"/>
    <s v="CORPORATIVO"/>
    <n v="2"/>
    <m/>
    <n v="1"/>
    <n v="0"/>
    <n v="0"/>
    <s v="MXN"/>
    <s v="Receipt(1)"/>
    <s v="Mexico"/>
    <m/>
    <m/>
    <m/>
  </r>
  <r>
    <x v="7"/>
    <x v="14"/>
    <x v="1"/>
    <s v="SERVI QUIM DE MONTERREY SA DE CV"/>
    <x v="1"/>
    <x v="1"/>
    <x v="19"/>
    <x v="1"/>
    <d v="2026-05-15T00:00:00"/>
    <d v="2026-04-28T14:13:05"/>
    <x v="6"/>
    <n v="11742"/>
    <s v="Approved"/>
    <n v="0"/>
    <n v="19"/>
    <n v="0"/>
    <n v="0"/>
    <s v="Open"/>
    <x v="1"/>
    <s v="CORPORATIVO"/>
    <n v="3"/>
    <m/>
    <n v="1"/>
    <n v="0"/>
    <n v="0"/>
    <s v="MXN"/>
    <s v="Receipt(1)"/>
    <s v="Mexico"/>
    <m/>
    <m/>
    <m/>
  </r>
  <r>
    <x v="7"/>
    <x v="15"/>
    <x v="4"/>
    <s v="SERVI QUIM DE MONTERREY SA DE CV"/>
    <x v="4"/>
    <x v="1"/>
    <x v="4"/>
    <x v="1"/>
    <d v="2026-05-08T00:00:00"/>
    <d v="2026-04-08T12:54:29"/>
    <x v="6"/>
    <n v="6336"/>
    <s v="Approved"/>
    <n v="0"/>
    <n v="11"/>
    <n v="0"/>
    <n v="0"/>
    <s v="Open"/>
    <x v="1"/>
    <s v="CORPORATIVO"/>
    <n v="1"/>
    <m/>
    <n v="1"/>
    <n v="0"/>
    <n v="0"/>
    <s v="MXN"/>
    <s v="Receipt(1)"/>
    <s v="Mexico"/>
    <m/>
    <m/>
    <m/>
  </r>
  <r>
    <x v="7"/>
    <x v="15"/>
    <x v="4"/>
    <s v="SERVI QUIM DE MONTERREY SA DE CV"/>
    <x v="4"/>
    <x v="1"/>
    <x v="4"/>
    <x v="1"/>
    <d v="2026-05-08T00:00:00"/>
    <d v="2026-04-08T12:54:29"/>
    <x v="6"/>
    <n v="6336"/>
    <s v="Approved"/>
    <n v="0"/>
    <n v="11"/>
    <n v="0"/>
    <n v="0"/>
    <s v="Open"/>
    <x v="1"/>
    <s v="CORPORATIVO"/>
    <n v="2"/>
    <m/>
    <n v="1"/>
    <n v="0"/>
    <n v="0"/>
    <s v="MXN"/>
    <s v="Receipt(1)"/>
    <s v="Mexico"/>
    <m/>
    <m/>
    <m/>
  </r>
  <r>
    <x v="7"/>
    <x v="15"/>
    <x v="5"/>
    <s v="SERVI QUIM DE MONTERREY SA DE CV"/>
    <x v="5"/>
    <x v="1"/>
    <x v="5"/>
    <x v="1"/>
    <d v="2026-05-08T00:00:00"/>
    <d v="2026-04-08T12:54:29"/>
    <x v="6"/>
    <n v="5057.1499999999996"/>
    <s v="Approved"/>
    <n v="0"/>
    <n v="5"/>
    <n v="0"/>
    <n v="0"/>
    <s v="Open"/>
    <x v="1"/>
    <s v="CORPORATIVO"/>
    <n v="3"/>
    <m/>
    <n v="1"/>
    <n v="0"/>
    <n v="0"/>
    <s v="MXN"/>
    <s v="Receipt(1)"/>
    <s v="Mexico"/>
    <m/>
    <m/>
    <m/>
  </r>
  <r>
    <x v="7"/>
    <x v="15"/>
    <x v="8"/>
    <s v="SERVI QUIM DE MONTERREY SA DE CV"/>
    <x v="8"/>
    <x v="1"/>
    <x v="20"/>
    <x v="1"/>
    <d v="2026-05-08T00:00:00"/>
    <d v="2026-04-08T12:54:29"/>
    <x v="6"/>
    <n v="12926"/>
    <s v="Approved"/>
    <n v="0"/>
    <n v="23"/>
    <n v="0"/>
    <n v="0"/>
    <s v="Open"/>
    <x v="1"/>
    <s v="CORPORATIVO"/>
    <n v="4"/>
    <m/>
    <n v="1"/>
    <n v="0"/>
    <n v="0"/>
    <s v="MXN"/>
    <s v="Receipt(1)"/>
    <s v="Mexico"/>
    <m/>
    <m/>
    <m/>
  </r>
  <r>
    <x v="8"/>
    <x v="16"/>
    <x v="5"/>
    <s v="SERVI QUIM DE MONTERREY SA DE CV"/>
    <x v="5"/>
    <x v="1"/>
    <x v="21"/>
    <x v="2"/>
    <d v="2026-07-03T00:00:00"/>
    <d v="2026-06-18T11:28:09"/>
    <x v="7"/>
    <n v="3337.29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8"/>
    <x v="16"/>
    <x v="20"/>
    <s v="SERVI QUIM DE MONTERREY SA DE CV"/>
    <x v="20"/>
    <x v="1"/>
    <x v="21"/>
    <x v="2"/>
    <d v="2026-07-03T00:00:00"/>
    <d v="2026-06-18T11:28:09"/>
    <x v="7"/>
    <n v="4705.8"/>
    <s v="Approved"/>
    <n v="0"/>
    <n v="3"/>
    <n v="0"/>
    <n v="0"/>
    <s v="Open"/>
    <x v="1"/>
    <s v="CORPORATIVO"/>
    <n v="2"/>
    <m/>
    <n v="1"/>
    <n v="0"/>
    <n v="0"/>
    <s v="MXN"/>
    <s v="Receipt(1)"/>
    <s v="Mexico"/>
    <m/>
    <m/>
    <m/>
  </r>
  <r>
    <x v="8"/>
    <x v="16"/>
    <x v="8"/>
    <s v="SERVI QUIM DE MONTERREY SA DE CV"/>
    <x v="8"/>
    <x v="1"/>
    <x v="5"/>
    <x v="2"/>
    <d v="2026-07-03T00:00:00"/>
    <d v="2026-06-18T11:28:09"/>
    <x v="7"/>
    <n v="3091"/>
    <s v="Approved"/>
    <n v="0"/>
    <n v="5"/>
    <n v="0"/>
    <n v="0"/>
    <s v="Open"/>
    <x v="1"/>
    <s v="CORPORATIVO"/>
    <n v="3"/>
    <m/>
    <n v="1"/>
    <n v="0"/>
    <n v="0"/>
    <s v="MXN"/>
    <s v="Receipt(1)"/>
    <s v="Mexico"/>
    <m/>
    <m/>
    <m/>
  </r>
  <r>
    <x v="8"/>
    <x v="16"/>
    <x v="9"/>
    <s v="SERVI QUIM DE MONTERREY SA DE CV"/>
    <x v="9"/>
    <x v="1"/>
    <x v="2"/>
    <x v="2"/>
    <d v="2026-07-03T00:00:00"/>
    <d v="2026-06-18T11:28:09"/>
    <x v="7"/>
    <n v="9198"/>
    <s v="Approved"/>
    <n v="0"/>
    <n v="9"/>
    <n v="0"/>
    <n v="0"/>
    <s v="Open"/>
    <x v="1"/>
    <s v="CORPORATIVO"/>
    <n v="4"/>
    <m/>
    <n v="1"/>
    <n v="0"/>
    <n v="0"/>
    <s v="MXN"/>
    <s v="Receipt(1)"/>
    <s v="Mexico"/>
    <m/>
    <m/>
    <m/>
  </r>
  <r>
    <x v="8"/>
    <x v="16"/>
    <x v="6"/>
    <s v="SERVI QUIM DE MONTERREY SA DE CV"/>
    <x v="6"/>
    <x v="1"/>
    <x v="2"/>
    <x v="2"/>
    <d v="2026-07-03T00:00:00"/>
    <d v="2026-06-18T11:28:09"/>
    <x v="7"/>
    <n v="8415"/>
    <s v="Approved"/>
    <n v="0"/>
    <n v="9"/>
    <n v="0"/>
    <n v="0"/>
    <s v="Open"/>
    <x v="1"/>
    <s v="CORPORATIVO"/>
    <n v="5"/>
    <m/>
    <n v="1"/>
    <n v="0"/>
    <n v="0"/>
    <s v="MXN"/>
    <s v="Receipt(1)"/>
    <s v="Mexico"/>
    <m/>
    <m/>
    <m/>
  </r>
  <r>
    <x v="9"/>
    <x v="17"/>
    <x v="4"/>
    <s v="SERVI QUIM DE MONTERREY SA DE CV"/>
    <x v="4"/>
    <x v="1"/>
    <x v="17"/>
    <x v="3"/>
    <d v="2026-07-10T00:00:00"/>
    <d v="2026-06-29T18:33:16"/>
    <x v="8"/>
    <n v="126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9"/>
    <x v="17"/>
    <x v="9"/>
    <s v="SERVI QUIM DE MONTERREY SA DE CV"/>
    <x v="9"/>
    <x v="1"/>
    <x v="21"/>
    <x v="3"/>
    <d v="2026-07-10T00:00:00"/>
    <d v="2026-06-29T18:33:16"/>
    <x v="8"/>
    <n v="3066"/>
    <s v="Approved"/>
    <n v="0"/>
    <n v="3"/>
    <n v="0"/>
    <n v="0"/>
    <s v="Open"/>
    <x v="1"/>
    <s v="CORPORATIVO"/>
    <n v="2"/>
    <m/>
    <n v="1"/>
    <n v="0"/>
    <n v="0"/>
    <s v="MXN"/>
    <s v="Receipt(1)"/>
    <s v="Mexico"/>
    <m/>
    <m/>
    <m/>
  </r>
  <r>
    <x v="9"/>
    <x v="17"/>
    <x v="25"/>
    <s v="SERVI QUIM DE MONTERREY SA DE CV"/>
    <x v="25"/>
    <x v="1"/>
    <x v="14"/>
    <x v="3"/>
    <d v="2026-07-10T00:00:00"/>
    <d v="2026-06-29T18:33:16"/>
    <x v="8"/>
    <n v="1920"/>
    <s v="Approved"/>
    <n v="0"/>
    <n v="1"/>
    <n v="0"/>
    <n v="0"/>
    <s v="Open"/>
    <x v="1"/>
    <s v="CORPORATIVO"/>
    <n v="3"/>
    <m/>
    <n v="1"/>
    <n v="0"/>
    <n v="0"/>
    <s v="MXN"/>
    <s v="Receipt(1)"/>
    <s v="Mexico"/>
    <m/>
    <m/>
    <m/>
  </r>
  <r>
    <x v="9"/>
    <x v="17"/>
    <x v="26"/>
    <s v="SERVI QUIM DE MONTERREY SA DE CV"/>
    <x v="26"/>
    <x v="1"/>
    <x v="17"/>
    <x v="3"/>
    <d v="2026-07-10T00:00:00"/>
    <d v="2026-06-29T18:33:16"/>
    <x v="8"/>
    <n v="4285.6000000000004"/>
    <s v="Approved"/>
    <n v="0"/>
    <n v="2"/>
    <n v="0"/>
    <n v="0"/>
    <s v="Open"/>
    <x v="1"/>
    <s v="CORPORATIVO"/>
    <n v="4"/>
    <m/>
    <n v="1"/>
    <n v="0"/>
    <n v="0"/>
    <s v="MXN"/>
    <s v="Receipt(1)"/>
    <s v="Mexico"/>
    <m/>
    <m/>
    <m/>
  </r>
  <r>
    <x v="9"/>
    <x v="18"/>
    <x v="25"/>
    <s v="SERVI QUIM DE MONTERREY SA DE CV"/>
    <x v="25"/>
    <x v="1"/>
    <x v="14"/>
    <x v="2"/>
    <d v="2026-07-10T00:00:00"/>
    <d v="2026-06-29T17:24:15"/>
    <x v="8"/>
    <n v="1920"/>
    <s v="Approved"/>
    <n v="0"/>
    <n v="1"/>
    <n v="0"/>
    <n v="0"/>
    <s v="Open"/>
    <x v="1"/>
    <s v="CORPORATIVO"/>
    <n v="1"/>
    <m/>
    <n v="1"/>
    <n v="0"/>
    <n v="0"/>
    <s v="MXN"/>
    <s v="Receipt(1)"/>
    <s v="Mexico"/>
    <m/>
    <m/>
    <m/>
  </r>
  <r>
    <x v="9"/>
    <x v="19"/>
    <x v="20"/>
    <s v="SERVI QUIM DE MONTERREY SA DE CV"/>
    <x v="20"/>
    <x v="1"/>
    <x v="17"/>
    <x v="2"/>
    <d v="2026-07-10T00:00:00"/>
    <d v="2026-06-18T11:29:41"/>
    <x v="8"/>
    <n v="313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9"/>
    <x v="19"/>
    <x v="8"/>
    <s v="SERVI QUIM DE MONTERREY SA DE CV"/>
    <x v="8"/>
    <x v="1"/>
    <x v="15"/>
    <x v="2"/>
    <d v="2026-07-10T00:00:00"/>
    <d v="2026-06-18T11:29:41"/>
    <x v="8"/>
    <n v="2472.8000000000002"/>
    <s v="Approved"/>
    <n v="0"/>
    <n v="4"/>
    <n v="0"/>
    <n v="0"/>
    <s v="Open"/>
    <x v="1"/>
    <s v="CORPORATIVO"/>
    <n v="2"/>
    <m/>
    <n v="1"/>
    <n v="0"/>
    <n v="0"/>
    <s v="MXN"/>
    <s v="Receipt(1)"/>
    <s v="Mexico"/>
    <m/>
    <m/>
    <m/>
  </r>
  <r>
    <x v="9"/>
    <x v="19"/>
    <x v="6"/>
    <s v="SERVI QUIM DE MONTERREY SA DE CV"/>
    <x v="6"/>
    <x v="1"/>
    <x v="22"/>
    <x v="2"/>
    <d v="2026-07-10T00:00:00"/>
    <d v="2026-06-18T11:29:41"/>
    <x v="8"/>
    <n v="6545"/>
    <s v="Approved"/>
    <n v="0"/>
    <n v="7"/>
    <n v="0"/>
    <n v="0"/>
    <s v="Open"/>
    <x v="1"/>
    <s v="CORPORATIVO"/>
    <n v="3"/>
    <m/>
    <n v="1"/>
    <n v="0"/>
    <n v="0"/>
    <s v="MXN"/>
    <s v="Receipt(1)"/>
    <s v="Mexico"/>
    <m/>
    <m/>
    <m/>
  </r>
  <r>
    <x v="9"/>
    <x v="20"/>
    <x v="14"/>
    <s v="SERVI QUIM DE MONTERREY SA DE CV"/>
    <x v="14"/>
    <x v="1"/>
    <x v="23"/>
    <x v="1"/>
    <d v="2026-07-10T00:00:00"/>
    <d v="2026-06-18T11:02:10"/>
    <x v="8"/>
    <n v="250589.16"/>
    <s v="Approved"/>
    <n v="0"/>
    <n v="444"/>
    <n v="0"/>
    <n v="0"/>
    <s v="Open"/>
    <x v="1"/>
    <s v="CORPORATIVO"/>
    <n v="1"/>
    <m/>
    <n v="1"/>
    <n v="0"/>
    <n v="0"/>
    <s v="MXN"/>
    <s v="Receipt(1)"/>
    <s v="Mexico"/>
    <m/>
    <m/>
    <m/>
  </r>
  <r>
    <x v="9"/>
    <x v="21"/>
    <x v="6"/>
    <s v="SERVI QUIM DE MONTERREY SA DE CV"/>
    <x v="6"/>
    <x v="1"/>
    <x v="24"/>
    <x v="1"/>
    <d v="2026-07-10T00:00:00"/>
    <d v="2026-05-26T12:19:19"/>
    <x v="8"/>
    <n v="54400"/>
    <s v="Approved"/>
    <n v="0"/>
    <n v="64"/>
    <n v="0"/>
    <n v="0"/>
    <s v="Open"/>
    <x v="1"/>
    <s v="CORPORATIVO"/>
    <n v="1"/>
    <m/>
    <n v="1"/>
    <n v="0"/>
    <n v="0"/>
    <s v="MXN"/>
    <s v="Receipt(1)"/>
    <s v="Mexico"/>
    <m/>
    <m/>
    <m/>
  </r>
  <r>
    <x v="10"/>
    <x v="22"/>
    <x v="20"/>
    <s v="SERVI QUIM DE MONTERREY SA DE CV"/>
    <x v="20"/>
    <x v="1"/>
    <x v="17"/>
    <x v="2"/>
    <d v="2026-07-13T00:00:00"/>
    <d v="2026-06-23T11:25:19"/>
    <x v="8"/>
    <n v="313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0"/>
    <x v="23"/>
    <x v="9"/>
    <s v="SERVI QUIM DE MONTERREY SA DE CV"/>
    <x v="9"/>
    <x v="1"/>
    <x v="22"/>
    <x v="2"/>
    <d v="2026-07-13T00:00:00"/>
    <d v="2026-06-23T11:23:42"/>
    <x v="8"/>
    <n v="7154"/>
    <s v="Approved"/>
    <n v="0"/>
    <n v="7"/>
    <n v="0"/>
    <n v="0"/>
    <s v="Open"/>
    <x v="1"/>
    <s v="CORPORATIVO"/>
    <n v="1"/>
    <m/>
    <n v="1"/>
    <n v="0"/>
    <n v="0"/>
    <s v="MXN"/>
    <s v="Receipt(1)"/>
    <s v="Mexico"/>
    <m/>
    <m/>
    <m/>
  </r>
  <r>
    <x v="10"/>
    <x v="23"/>
    <x v="25"/>
    <s v="SERVI QUIM DE MONTERREY SA DE CV"/>
    <x v="25"/>
    <x v="1"/>
    <x v="14"/>
    <x v="2"/>
    <d v="2026-07-13T00:00:00"/>
    <d v="2026-06-23T11:23:42"/>
    <x v="8"/>
    <n v="1920"/>
    <s v="Approved"/>
    <n v="0"/>
    <n v="1"/>
    <n v="0"/>
    <n v="0"/>
    <s v="Open"/>
    <x v="1"/>
    <s v="CORPORATIVO"/>
    <n v="2"/>
    <m/>
    <n v="1"/>
    <n v="0"/>
    <n v="0"/>
    <s v="MXN"/>
    <s v="Receipt(1)"/>
    <s v="Mexico"/>
    <m/>
    <m/>
    <m/>
  </r>
  <r>
    <x v="11"/>
    <x v="24"/>
    <x v="7"/>
    <s v="SERVI QUIM DE MONTERREY SA DE CV"/>
    <x v="7"/>
    <x v="1"/>
    <x v="5"/>
    <x v="0"/>
    <d v="2026-07-17T00:00:00"/>
    <d v="2026-07-10T11:44:02"/>
    <x v="9"/>
    <n v="12650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25"/>
    <x v="27"/>
    <s v="SERVI QUIM DE MONTERREY SA DE CV"/>
    <x v="27"/>
    <x v="1"/>
    <x v="25"/>
    <x v="0"/>
    <d v="2026-07-17T00:00:00"/>
    <d v="2026-07-10T10:05:47"/>
    <x v="9"/>
    <n v="33250.1"/>
    <s v="Approved"/>
    <n v="0"/>
    <n v="26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26"/>
    <x v="4"/>
    <s v="SERVI QUIM DE MONTERREY SA DE CV"/>
    <x v="4"/>
    <x v="1"/>
    <x v="21"/>
    <x v="3"/>
    <d v="2026-07-17T00:00:00"/>
    <d v="2026-06-29T18:34:47"/>
    <x v="9"/>
    <n v="1900.8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26"/>
    <x v="9"/>
    <s v="SERVI QUIM DE MONTERREY SA DE CV"/>
    <x v="9"/>
    <x v="1"/>
    <x v="21"/>
    <x v="3"/>
    <d v="2026-07-17T00:00:00"/>
    <d v="2026-06-29T18:34:47"/>
    <x v="9"/>
    <n v="3066"/>
    <s v="Approved"/>
    <n v="0"/>
    <n v="3"/>
    <n v="0"/>
    <n v="0"/>
    <s v="Open"/>
    <x v="1"/>
    <s v="CORPORATIVO"/>
    <n v="2"/>
    <m/>
    <n v="1"/>
    <n v="0"/>
    <n v="0"/>
    <s v="MXN"/>
    <s v="Receipt(1)"/>
    <s v="Mexico"/>
    <m/>
    <m/>
    <m/>
  </r>
  <r>
    <x v="11"/>
    <x v="26"/>
    <x v="26"/>
    <s v="SERVI QUIM DE MONTERREY SA DE CV"/>
    <x v="26"/>
    <x v="1"/>
    <x v="14"/>
    <x v="3"/>
    <d v="2026-07-17T00:00:00"/>
    <d v="2026-06-29T18:34:47"/>
    <x v="9"/>
    <n v="2142.8000000000002"/>
    <s v="Approved"/>
    <n v="0"/>
    <n v="1"/>
    <n v="0"/>
    <n v="0"/>
    <s v="Open"/>
    <x v="1"/>
    <s v="CORPORATIVO"/>
    <n v="3"/>
    <m/>
    <n v="1"/>
    <n v="0"/>
    <n v="0"/>
    <s v="MXN"/>
    <s v="Receipt(1)"/>
    <s v="Mexico"/>
    <m/>
    <m/>
    <m/>
  </r>
  <r>
    <x v="11"/>
    <x v="27"/>
    <x v="28"/>
    <s v="SERVI QUIM DE MONTERREY SA DE CV"/>
    <x v="28"/>
    <x v="1"/>
    <x v="14"/>
    <x v="2"/>
    <d v="2026-07-17T00:00:00"/>
    <d v="2026-06-18T11:37:19"/>
    <x v="9"/>
    <n v="1040"/>
    <s v="Approved"/>
    <n v="0"/>
    <n v="1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27"/>
    <x v="5"/>
    <s v="SERVI QUIM DE MONTERREY SA DE CV"/>
    <x v="5"/>
    <x v="1"/>
    <x v="17"/>
    <x v="2"/>
    <d v="2026-07-17T00:00:00"/>
    <d v="2026-06-18T11:37:19"/>
    <x v="9"/>
    <n v="2225.14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1"/>
    <x v="27"/>
    <x v="20"/>
    <s v="SERVI QUIM DE MONTERREY SA DE CV"/>
    <x v="20"/>
    <x v="1"/>
    <x v="21"/>
    <x v="2"/>
    <d v="2026-07-17T00:00:00"/>
    <d v="2026-06-18T11:37:19"/>
    <x v="9"/>
    <n v="4705.8"/>
    <s v="Approved"/>
    <n v="0"/>
    <n v="3"/>
    <n v="0"/>
    <n v="0"/>
    <s v="Open"/>
    <x v="1"/>
    <s v="CORPORATIVO"/>
    <n v="3"/>
    <m/>
    <n v="1"/>
    <n v="0"/>
    <n v="0"/>
    <s v="MXN"/>
    <s v="Receipt(1)"/>
    <s v="Mexico"/>
    <m/>
    <m/>
    <m/>
  </r>
  <r>
    <x v="11"/>
    <x v="27"/>
    <x v="8"/>
    <s v="SERVI QUIM DE MONTERREY SA DE CV"/>
    <x v="8"/>
    <x v="1"/>
    <x v="15"/>
    <x v="2"/>
    <d v="2026-07-17T00:00:00"/>
    <d v="2026-06-18T11:37:19"/>
    <x v="9"/>
    <n v="2472.8000000000002"/>
    <s v="Approved"/>
    <n v="0"/>
    <n v="4"/>
    <n v="0"/>
    <n v="0"/>
    <s v="Open"/>
    <x v="1"/>
    <s v="CORPORATIVO"/>
    <n v="4"/>
    <m/>
    <n v="1"/>
    <n v="0"/>
    <n v="0"/>
    <s v="MXN"/>
    <s v="Receipt(1)"/>
    <s v="Mexico"/>
    <m/>
    <m/>
    <m/>
  </r>
  <r>
    <x v="11"/>
    <x v="27"/>
    <x v="9"/>
    <s v="SERVI QUIM DE MONTERREY SA DE CV"/>
    <x v="9"/>
    <x v="1"/>
    <x v="2"/>
    <x v="2"/>
    <d v="2026-07-17T00:00:00"/>
    <d v="2026-06-18T11:37:19"/>
    <x v="9"/>
    <n v="9198"/>
    <s v="Approved"/>
    <n v="0"/>
    <n v="9"/>
    <n v="0"/>
    <n v="0"/>
    <s v="Open"/>
    <x v="1"/>
    <s v="CORPORATIVO"/>
    <n v="5"/>
    <m/>
    <n v="1"/>
    <n v="0"/>
    <n v="0"/>
    <s v="MXN"/>
    <s v="Receipt(1)"/>
    <s v="Mexico"/>
    <m/>
    <m/>
    <m/>
  </r>
  <r>
    <x v="11"/>
    <x v="27"/>
    <x v="25"/>
    <s v="SERVI QUIM DE MONTERREY SA DE CV"/>
    <x v="25"/>
    <x v="1"/>
    <x v="14"/>
    <x v="2"/>
    <d v="2026-07-17T00:00:00"/>
    <d v="2026-06-18T11:37:19"/>
    <x v="9"/>
    <n v="1920"/>
    <s v="Approved"/>
    <n v="0"/>
    <n v="1"/>
    <n v="0"/>
    <n v="0"/>
    <s v="Open"/>
    <x v="1"/>
    <s v="CORPORATIVO"/>
    <n v="6"/>
    <m/>
    <n v="1"/>
    <n v="0"/>
    <n v="0"/>
    <s v="MXN"/>
    <s v="Receipt(1)"/>
    <s v="Mexico"/>
    <m/>
    <m/>
    <m/>
  </r>
  <r>
    <x v="11"/>
    <x v="27"/>
    <x v="0"/>
    <s v="SERVI QUIM DE MONTERREY SA DE CV"/>
    <x v="0"/>
    <x v="0"/>
    <x v="17"/>
    <x v="2"/>
    <d v="2026-07-17T00:00:00"/>
    <d v="2026-06-18T11:37:19"/>
    <x v="9"/>
    <n v="0"/>
    <s v="Approved"/>
    <n v="0"/>
    <n v="2"/>
    <n v="0"/>
    <n v="0"/>
    <s v="Open"/>
    <x v="1"/>
    <s v="CORPORATIVO"/>
    <n v="7"/>
    <m/>
    <n v="1"/>
    <n v="0"/>
    <n v="0"/>
    <s v="MXN"/>
    <s v="Receipt(1)"/>
    <s v="Mexico"/>
    <m/>
    <m/>
    <m/>
  </r>
  <r>
    <x v="11"/>
    <x v="27"/>
    <x v="6"/>
    <s v="SERVI QUIM DE MONTERREY SA DE CV"/>
    <x v="6"/>
    <x v="1"/>
    <x v="22"/>
    <x v="2"/>
    <d v="2026-07-17T00:00:00"/>
    <d v="2026-06-18T11:37:19"/>
    <x v="9"/>
    <n v="6545"/>
    <s v="Approved"/>
    <n v="0"/>
    <n v="7"/>
    <n v="0"/>
    <n v="0"/>
    <s v="Open"/>
    <x v="1"/>
    <s v="CORPORATIVO"/>
    <n v="8"/>
    <m/>
    <n v="1"/>
    <n v="0"/>
    <n v="0"/>
    <s v="MXN"/>
    <s v="Receipt(1)"/>
    <s v="Mexico"/>
    <m/>
    <m/>
    <m/>
  </r>
  <r>
    <x v="11"/>
    <x v="28"/>
    <x v="14"/>
    <s v="SERVI QUIM DE MONTERREY SA DE CV"/>
    <x v="14"/>
    <x v="1"/>
    <x v="18"/>
    <x v="0"/>
    <d v="2026-07-17T00:00:00"/>
    <d v="2026-06-18T11:00:38"/>
    <x v="9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29"/>
    <x v="14"/>
    <s v="SERVI QUIM DE MONTERREY SA DE CV"/>
    <x v="14"/>
    <x v="1"/>
    <x v="26"/>
    <x v="1"/>
    <d v="2026-07-17T00:00:00"/>
    <d v="2026-06-18T10:59:07"/>
    <x v="9"/>
    <n v="250024.77"/>
    <s v="Approved"/>
    <n v="0"/>
    <n v="443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30"/>
    <x v="3"/>
    <s v="SERVI QUIM DE MONTERREY SA DE CV"/>
    <x v="3"/>
    <x v="1"/>
    <x v="20"/>
    <x v="1"/>
    <d v="2026-07-17T00:00:00"/>
    <d v="2026-06-08T17:51:35"/>
    <x v="9"/>
    <n v="15617"/>
    <s v="Approved"/>
    <n v="0"/>
    <n v="23"/>
    <n v="0"/>
    <n v="0"/>
    <s v="Open"/>
    <x v="1"/>
    <s v="CORPORATIVO"/>
    <n v="1"/>
    <m/>
    <n v="1"/>
    <n v="0"/>
    <n v="0"/>
    <s v="MXN"/>
    <s v="Receipt(1)"/>
    <s v="Mexico"/>
    <m/>
    <m/>
    <m/>
  </r>
  <r>
    <x v="11"/>
    <x v="30"/>
    <x v="1"/>
    <s v="SERVI QUIM DE MONTERREY SA DE CV"/>
    <x v="1"/>
    <x v="1"/>
    <x v="16"/>
    <x v="1"/>
    <d v="2026-07-17T00:00:00"/>
    <d v="2026-06-08T17:51:35"/>
    <x v="9"/>
    <n v="16296"/>
    <s v="Approved"/>
    <n v="0"/>
    <n v="24"/>
    <n v="0"/>
    <n v="0"/>
    <s v="Open"/>
    <x v="1"/>
    <s v="CORPORATIVO"/>
    <n v="2"/>
    <m/>
    <n v="1"/>
    <n v="0"/>
    <n v="0"/>
    <s v="MXN"/>
    <s v="Receipt(1)"/>
    <s v="Mexico"/>
    <m/>
    <m/>
    <m/>
  </r>
  <r>
    <x v="11"/>
    <x v="31"/>
    <x v="20"/>
    <s v="SERVI QUIM DE MONTERREY SA DE CV"/>
    <x v="20"/>
    <x v="1"/>
    <x v="27"/>
    <x v="1"/>
    <d v="2026-07-17T00:00:00"/>
    <d v="2026-05-19T18:34:55"/>
    <x v="9"/>
    <n v="70587"/>
    <s v="Approved"/>
    <n v="0"/>
    <n v="45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2"/>
    <x v="24"/>
    <s v="SERVI QUIM DE MONTERREY SA DE CV"/>
    <x v="24"/>
    <x v="0"/>
    <x v="17"/>
    <x v="3"/>
    <d v="2026-07-24T00:00:00"/>
    <d v="2026-07-14T15:23:32"/>
    <x v="10"/>
    <n v="1060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3"/>
    <x v="17"/>
    <s v="SERVI QUIM DE MONTERREY SA DE CV"/>
    <x v="17"/>
    <x v="1"/>
    <x v="5"/>
    <x v="0"/>
    <d v="2026-07-24T00:00:00"/>
    <d v="2026-07-14T15:15:53"/>
    <x v="10"/>
    <n v="9350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3"/>
    <x v="22"/>
    <s v="SERVI QUIM DE MONTERREY SA DE CV"/>
    <x v="22"/>
    <x v="1"/>
    <x v="11"/>
    <x v="0"/>
    <d v="2026-07-24T00:00:00"/>
    <d v="2026-07-14T15:15:53"/>
    <x v="10"/>
    <n v="8764.7999999999993"/>
    <s v="Approved"/>
    <n v="0"/>
    <n v="6"/>
    <n v="0"/>
    <n v="0"/>
    <s v="Open"/>
    <x v="1"/>
    <s v="CORPORATIVO"/>
    <n v="2"/>
    <m/>
    <n v="1"/>
    <n v="0"/>
    <n v="0"/>
    <s v="MXN"/>
    <s v="Receipt(1)"/>
    <s v="Mexico"/>
    <m/>
    <m/>
    <m/>
  </r>
  <r>
    <x v="12"/>
    <x v="34"/>
    <x v="24"/>
    <s v="SERVI QUIM DE MONTERREY SA DE CV"/>
    <x v="24"/>
    <x v="0"/>
    <x v="11"/>
    <x v="0"/>
    <d v="2026-07-24T00:00:00"/>
    <d v="2026-07-14T15:11:18"/>
    <x v="10"/>
    <n v="3180"/>
    <s v="Approved"/>
    <n v="0"/>
    <n v="6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5"/>
    <x v="20"/>
    <s v="SERVI QUIM DE MONTERREY SA DE CV"/>
    <x v="20"/>
    <x v="1"/>
    <x v="15"/>
    <x v="0"/>
    <d v="2026-07-24T00:00:00"/>
    <d v="2026-07-10T11:42:30"/>
    <x v="10"/>
    <n v="6274.4"/>
    <s v="Approved"/>
    <n v="0"/>
    <n v="4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5"/>
    <x v="21"/>
    <s v="SERVI QUIM DE MONTERREY SA DE CV"/>
    <x v="21"/>
    <x v="0"/>
    <x v="17"/>
    <x v="0"/>
    <d v="2026-07-24T00:00:00"/>
    <d v="2026-07-10T11:42:30"/>
    <x v="10"/>
    <n v="446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2"/>
    <x v="36"/>
    <x v="9"/>
    <s v="SERVI QUIM DE MONTERREY SA DE CV"/>
    <x v="9"/>
    <x v="1"/>
    <x v="28"/>
    <x v="1"/>
    <d v="2026-07-24T00:00:00"/>
    <d v="2026-07-10T11:34:52"/>
    <x v="10"/>
    <n v="16352"/>
    <s v="Approved"/>
    <n v="0"/>
    <n v="16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7"/>
    <x v="27"/>
    <s v="SERVI QUIM DE MONTERREY SA DE CV"/>
    <x v="27"/>
    <x v="1"/>
    <x v="29"/>
    <x v="0"/>
    <d v="2026-07-24T00:00:00"/>
    <d v="2026-07-10T10:08:50"/>
    <x v="10"/>
    <n v="25577"/>
    <s v="Approved"/>
    <n v="0"/>
    <n v="20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8"/>
    <x v="4"/>
    <s v="SERVI QUIM DE MONTERREY SA DE CV"/>
    <x v="4"/>
    <x v="1"/>
    <x v="17"/>
    <x v="3"/>
    <d v="2026-07-24T00:00:00"/>
    <d v="2026-06-29T18:30:13"/>
    <x v="10"/>
    <n v="126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8"/>
    <x v="20"/>
    <s v="SERVI QUIM DE MONTERREY SA DE CV"/>
    <x v="20"/>
    <x v="1"/>
    <x v="17"/>
    <x v="3"/>
    <d v="2026-07-24T00:00:00"/>
    <d v="2026-06-29T18:30:13"/>
    <x v="10"/>
    <n v="3137.2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2"/>
    <x v="38"/>
    <x v="9"/>
    <s v="SERVI QUIM DE MONTERREY SA DE CV"/>
    <x v="9"/>
    <x v="1"/>
    <x v="21"/>
    <x v="3"/>
    <d v="2026-07-24T00:00:00"/>
    <d v="2026-06-29T18:30:13"/>
    <x v="10"/>
    <n v="3066"/>
    <s v="Approved"/>
    <n v="0"/>
    <n v="3"/>
    <n v="0"/>
    <n v="0"/>
    <s v="Open"/>
    <x v="1"/>
    <s v="CORPORATIVO"/>
    <n v="3"/>
    <m/>
    <n v="1"/>
    <n v="0"/>
    <n v="0"/>
    <s v="MXN"/>
    <s v="Receipt(1)"/>
    <s v="Mexico"/>
    <m/>
    <m/>
    <m/>
  </r>
  <r>
    <x v="12"/>
    <x v="38"/>
    <x v="26"/>
    <s v="SERVI QUIM DE MONTERREY SA DE CV"/>
    <x v="26"/>
    <x v="1"/>
    <x v="17"/>
    <x v="3"/>
    <d v="2026-07-24T00:00:00"/>
    <d v="2026-06-29T18:30:13"/>
    <x v="10"/>
    <n v="4285.6000000000004"/>
    <s v="Approved"/>
    <n v="0"/>
    <n v="2"/>
    <n v="0"/>
    <n v="0"/>
    <s v="Open"/>
    <x v="1"/>
    <s v="CORPORATIVO"/>
    <n v="4"/>
    <m/>
    <n v="1"/>
    <n v="0"/>
    <n v="0"/>
    <s v="MXN"/>
    <s v="Receipt(1)"/>
    <s v="Mexico"/>
    <m/>
    <m/>
    <m/>
  </r>
  <r>
    <x v="12"/>
    <x v="39"/>
    <x v="20"/>
    <s v="SERVI QUIM DE MONTERREY SA DE CV"/>
    <x v="20"/>
    <x v="1"/>
    <x v="17"/>
    <x v="2"/>
    <d v="2026-07-24T00:00:00"/>
    <d v="2026-06-23T11:17:07"/>
    <x v="10"/>
    <n v="313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39"/>
    <x v="6"/>
    <s v="SERVI QUIM DE MONTERREY SA DE CV"/>
    <x v="6"/>
    <x v="1"/>
    <x v="5"/>
    <x v="2"/>
    <d v="2026-07-24T00:00:00"/>
    <d v="2026-06-23T11:17:07"/>
    <x v="10"/>
    <n v="4675"/>
    <s v="Approved"/>
    <n v="0"/>
    <n v="5"/>
    <n v="0"/>
    <n v="0"/>
    <s v="Open"/>
    <x v="1"/>
    <s v="CORPORATIVO"/>
    <n v="2"/>
    <m/>
    <n v="1"/>
    <n v="0"/>
    <n v="0"/>
    <s v="MXN"/>
    <s v="Receipt(1)"/>
    <s v="Mexico"/>
    <m/>
    <m/>
    <m/>
  </r>
  <r>
    <x v="12"/>
    <x v="40"/>
    <x v="8"/>
    <s v="SERVI QUIM DE MONTERREY SA DE CV"/>
    <x v="8"/>
    <x v="1"/>
    <x v="15"/>
    <x v="2"/>
    <d v="2026-07-24T00:00:00"/>
    <d v="2026-06-18T11:34:16"/>
    <x v="10"/>
    <n v="2472.8000000000002"/>
    <s v="Approved"/>
    <n v="0"/>
    <n v="4"/>
    <n v="0"/>
    <n v="0"/>
    <s v="Open"/>
    <x v="1"/>
    <s v="CORPORATIVO"/>
    <n v="1"/>
    <m/>
    <n v="1"/>
    <n v="0"/>
    <n v="0"/>
    <s v="MXN"/>
    <s v="Receipt(1)"/>
    <s v="Mexico"/>
    <m/>
    <m/>
    <m/>
  </r>
  <r>
    <x v="12"/>
    <x v="41"/>
    <x v="14"/>
    <s v="SERVI QUIM DE MONTERREY SA DE CV"/>
    <x v="14"/>
    <x v="1"/>
    <x v="26"/>
    <x v="1"/>
    <d v="2026-07-24T00:00:00"/>
    <d v="2026-06-18T11:03:42"/>
    <x v="10"/>
    <n v="250024.77"/>
    <s v="Approved"/>
    <n v="0"/>
    <n v="443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2"/>
    <x v="16"/>
    <s v="SERVI QUIM DE MONTERREY SA DE CV"/>
    <x v="16"/>
    <x v="0"/>
    <x v="21"/>
    <x v="0"/>
    <d v="2026-07-31T00:00:00"/>
    <d v="2026-07-14T15:51:03"/>
    <x v="11"/>
    <n v="144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3"/>
    <x v="20"/>
    <s v="SERVI QUIM DE MONTERREY SA DE CV"/>
    <x v="20"/>
    <x v="1"/>
    <x v="30"/>
    <x v="1"/>
    <d v="2026-07-31T00:00:00"/>
    <d v="2026-07-14T15:49:32"/>
    <x v="11"/>
    <n v="87841.600000000006"/>
    <s v="Approved"/>
    <n v="0"/>
    <n v="56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4"/>
    <x v="8"/>
    <s v="SERVI QUIM DE MONTERREY SA DE CV"/>
    <x v="8"/>
    <x v="1"/>
    <x v="21"/>
    <x v="3"/>
    <d v="2026-07-31T00:00:00"/>
    <d v="2026-07-14T15:37:17"/>
    <x v="11"/>
    <n v="1854.6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4"/>
    <x v="21"/>
    <s v="SERVI QUIM DE MONTERREY SA DE CV"/>
    <x v="21"/>
    <x v="0"/>
    <x v="17"/>
    <x v="3"/>
    <d v="2026-07-31T00:00:00"/>
    <d v="2026-07-14T15:37:17"/>
    <x v="11"/>
    <n v="446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44"/>
    <x v="6"/>
    <s v="SERVI QUIM DE MONTERREY SA DE CV"/>
    <x v="6"/>
    <x v="1"/>
    <x v="17"/>
    <x v="3"/>
    <d v="2026-07-31T00:00:00"/>
    <d v="2026-07-14T15:37:17"/>
    <x v="11"/>
    <n v="1870"/>
    <s v="Approved"/>
    <n v="0"/>
    <n v="2"/>
    <n v="0"/>
    <n v="0"/>
    <s v="Open"/>
    <x v="1"/>
    <s v="CORPORATIVO"/>
    <n v="3"/>
    <m/>
    <n v="1"/>
    <n v="0"/>
    <n v="0"/>
    <s v="MXN"/>
    <s v="Receipt(1)"/>
    <s v="Mexico"/>
    <m/>
    <m/>
    <m/>
  </r>
  <r>
    <x v="13"/>
    <x v="45"/>
    <x v="20"/>
    <s v="SERVI QUIM DE MONTERREY SA DE CV"/>
    <x v="20"/>
    <x v="1"/>
    <x v="21"/>
    <x v="2"/>
    <d v="2026-07-31T00:00:00"/>
    <d v="2026-07-14T15:32:42"/>
    <x v="11"/>
    <n v="4705.8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5"/>
    <x v="8"/>
    <s v="SERVI QUIM DE MONTERREY SA DE CV"/>
    <x v="8"/>
    <x v="1"/>
    <x v="22"/>
    <x v="2"/>
    <d v="2026-07-31T00:00:00"/>
    <d v="2026-07-14T15:32:42"/>
    <x v="11"/>
    <n v="4327.3999999999996"/>
    <s v="Approved"/>
    <n v="0"/>
    <n v="7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46"/>
    <x v="19"/>
    <s v="SERVI QUIM DE MONTERREY SA DE CV"/>
    <x v="19"/>
    <x v="1"/>
    <x v="22"/>
    <x v="0"/>
    <d v="2026-07-31T00:00:00"/>
    <d v="2026-07-14T15:17:25"/>
    <x v="11"/>
    <n v="11775.82"/>
    <s v="Approved"/>
    <n v="0"/>
    <n v="7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6"/>
    <x v="21"/>
    <s v="SERVI QUIM DE MONTERREY SA DE CV"/>
    <x v="21"/>
    <x v="0"/>
    <x v="22"/>
    <x v="0"/>
    <d v="2026-07-31T00:00:00"/>
    <d v="2026-07-14T15:17:25"/>
    <x v="11"/>
    <n v="1561"/>
    <s v="Approved"/>
    <n v="0"/>
    <n v="7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46"/>
    <x v="7"/>
    <s v="SERVI QUIM DE MONTERREY SA DE CV"/>
    <x v="7"/>
    <x v="1"/>
    <x v="22"/>
    <x v="0"/>
    <d v="2026-07-31T00:00:00"/>
    <d v="2026-07-14T15:17:25"/>
    <x v="11"/>
    <n v="17710"/>
    <s v="Approved"/>
    <n v="0"/>
    <n v="7"/>
    <n v="0"/>
    <n v="0"/>
    <s v="Open"/>
    <x v="1"/>
    <s v="CORPORATIVO"/>
    <n v="3"/>
    <m/>
    <n v="1"/>
    <n v="0"/>
    <n v="0"/>
    <s v="MXN"/>
    <s v="Receipt(1)"/>
    <s v="Mexico"/>
    <m/>
    <m/>
    <m/>
  </r>
  <r>
    <x v="13"/>
    <x v="47"/>
    <x v="9"/>
    <s v="SERVI QUIM DE MONTERREY SA DE CV"/>
    <x v="9"/>
    <x v="1"/>
    <x v="31"/>
    <x v="1"/>
    <d v="2026-07-31T00:00:00"/>
    <d v="2026-07-10T11:36:24"/>
    <x v="11"/>
    <n v="12264"/>
    <s v="Approved"/>
    <n v="0"/>
    <n v="12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8"/>
    <x v="4"/>
    <s v="SERVI QUIM DE MONTERREY SA DE CV"/>
    <x v="4"/>
    <x v="1"/>
    <x v="17"/>
    <x v="3"/>
    <d v="2026-07-31T00:00:00"/>
    <d v="2026-06-29T18:31:44"/>
    <x v="11"/>
    <n v="1267.2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48"/>
    <x v="19"/>
    <s v="SERVI QUIM DE MONTERREY SA DE CV"/>
    <x v="19"/>
    <x v="1"/>
    <x v="17"/>
    <x v="3"/>
    <d v="2026-07-31T00:00:00"/>
    <d v="2026-06-29T18:31:44"/>
    <x v="11"/>
    <n v="3364.52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48"/>
    <x v="9"/>
    <s v="SERVI QUIM DE MONTERREY SA DE CV"/>
    <x v="9"/>
    <x v="1"/>
    <x v="21"/>
    <x v="3"/>
    <d v="2026-07-31T00:00:00"/>
    <d v="2026-06-29T18:31:44"/>
    <x v="11"/>
    <n v="3066"/>
    <s v="Approved"/>
    <n v="0"/>
    <n v="3"/>
    <n v="0"/>
    <n v="0"/>
    <s v="Open"/>
    <x v="1"/>
    <s v="CORPORATIVO"/>
    <n v="3"/>
    <m/>
    <n v="1"/>
    <n v="0"/>
    <n v="0"/>
    <s v="MXN"/>
    <s v="Receipt(1)"/>
    <s v="Mexico"/>
    <m/>
    <m/>
    <m/>
  </r>
  <r>
    <x v="13"/>
    <x v="48"/>
    <x v="25"/>
    <s v="SERVI QUIM DE MONTERREY SA DE CV"/>
    <x v="25"/>
    <x v="1"/>
    <x v="14"/>
    <x v="3"/>
    <d v="2026-07-31T00:00:00"/>
    <d v="2026-06-29T18:31:44"/>
    <x v="11"/>
    <n v="1920"/>
    <s v="Approved"/>
    <n v="0"/>
    <n v="1"/>
    <n v="0"/>
    <n v="0"/>
    <s v="Open"/>
    <x v="1"/>
    <s v="CORPORATIVO"/>
    <n v="4"/>
    <m/>
    <n v="1"/>
    <n v="0"/>
    <n v="0"/>
    <s v="MXN"/>
    <s v="Receipt(1)"/>
    <s v="Mexico"/>
    <m/>
    <m/>
    <m/>
  </r>
  <r>
    <x v="13"/>
    <x v="48"/>
    <x v="12"/>
    <s v="SERVI QUIM DE MONTERREY SA DE CV"/>
    <x v="12"/>
    <x v="1"/>
    <x v="14"/>
    <x v="3"/>
    <d v="2026-07-31T00:00:00"/>
    <d v="2026-06-29T18:31:44"/>
    <x v="11"/>
    <n v="946"/>
    <s v="Approved"/>
    <n v="0"/>
    <n v="1"/>
    <n v="0"/>
    <n v="0"/>
    <s v="Open"/>
    <x v="1"/>
    <s v="CORPORATIVO"/>
    <n v="5"/>
    <m/>
    <n v="1"/>
    <n v="0"/>
    <n v="0"/>
    <s v="MXN"/>
    <s v="Receipt(1)"/>
    <s v="Mexico"/>
    <m/>
    <m/>
    <m/>
  </r>
  <r>
    <x v="13"/>
    <x v="49"/>
    <x v="14"/>
    <s v="SERVI QUIM DE MONTERREY SA DE CV"/>
    <x v="14"/>
    <x v="1"/>
    <x v="18"/>
    <x v="0"/>
    <d v="2026-07-31T00:00:00"/>
    <d v="2026-06-29T17:32:53"/>
    <x v="11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50"/>
    <x v="5"/>
    <s v="SERVI QUIM DE MONTERREY SA DE CV"/>
    <x v="5"/>
    <x v="1"/>
    <x v="17"/>
    <x v="2"/>
    <d v="2026-07-31T00:00:00"/>
    <d v="2026-06-29T17:25:46"/>
    <x v="11"/>
    <n v="2225.14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50"/>
    <x v="6"/>
    <s v="SERVI QUIM DE MONTERREY SA DE CV"/>
    <x v="6"/>
    <x v="1"/>
    <x v="11"/>
    <x v="2"/>
    <d v="2026-07-31T00:00:00"/>
    <d v="2026-06-29T17:25:46"/>
    <x v="11"/>
    <n v="5610"/>
    <s v="Approved"/>
    <n v="0"/>
    <n v="6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51"/>
    <x v="0"/>
    <s v="SERVI QUIM DE MONTERREY SA DE CV"/>
    <x v="0"/>
    <x v="0"/>
    <x v="17"/>
    <x v="2"/>
    <d v="2026-07-31T00:00:00"/>
    <d v="2026-06-23T11:15:13"/>
    <x v="11"/>
    <n v="0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3"/>
    <x v="51"/>
    <x v="12"/>
    <s v="SERVI QUIM DE MONTERREY SA DE CV"/>
    <x v="12"/>
    <x v="1"/>
    <x v="17"/>
    <x v="2"/>
    <d v="2026-07-31T00:00:00"/>
    <d v="2026-06-23T11:15:13"/>
    <x v="11"/>
    <n v="1892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3"/>
    <x v="52"/>
    <x v="14"/>
    <s v="SERVI QUIM DE MONTERREY SA DE CV"/>
    <x v="14"/>
    <x v="1"/>
    <x v="32"/>
    <x v="1"/>
    <d v="2026-07-31T00:00:00"/>
    <d v="2026-06-23T09:48:47"/>
    <x v="11"/>
    <n v="261876.96"/>
    <s v="Approved"/>
    <n v="0"/>
    <n v="464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3"/>
    <x v="4"/>
    <s v="SERVI QUIM DE MONTERREY SA DE CV"/>
    <x v="4"/>
    <x v="1"/>
    <x v="21"/>
    <x v="1"/>
    <d v="2026-08-07T00:00:00"/>
    <d v="2026-07-14T15:48:00"/>
    <x v="12"/>
    <n v="1900.8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3"/>
    <x v="6"/>
    <s v="SERVI QUIM DE MONTERREY SA DE CV"/>
    <x v="6"/>
    <x v="1"/>
    <x v="33"/>
    <x v="1"/>
    <d v="2026-08-07T00:00:00"/>
    <d v="2026-07-14T15:48:00"/>
    <x v="12"/>
    <n v="30855"/>
    <s v="Approved"/>
    <n v="0"/>
    <n v="33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54"/>
    <x v="8"/>
    <s v="SERVI QUIM DE MONTERREY SA DE CV"/>
    <x v="8"/>
    <x v="1"/>
    <x v="5"/>
    <x v="3"/>
    <d v="2026-08-07T00:00:00"/>
    <d v="2026-07-14T15:34:14"/>
    <x v="12"/>
    <n v="3091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4"/>
    <x v="21"/>
    <s v="SERVI QUIM DE MONTERREY SA DE CV"/>
    <x v="21"/>
    <x v="0"/>
    <x v="17"/>
    <x v="3"/>
    <d v="2026-08-07T00:00:00"/>
    <d v="2026-07-14T15:34:14"/>
    <x v="12"/>
    <n v="446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54"/>
    <x v="22"/>
    <s v="SERVI QUIM DE MONTERREY SA DE CV"/>
    <x v="22"/>
    <x v="1"/>
    <x v="21"/>
    <x v="3"/>
    <d v="2026-08-07T00:00:00"/>
    <d v="2026-07-14T15:34:14"/>
    <x v="12"/>
    <n v="4382.3999999999996"/>
    <s v="Approved"/>
    <n v="0"/>
    <n v="3"/>
    <n v="0"/>
    <n v="0"/>
    <s v="Open"/>
    <x v="1"/>
    <s v="CORPORATIVO"/>
    <n v="3"/>
    <m/>
    <n v="1"/>
    <n v="0"/>
    <n v="0"/>
    <s v="MXN"/>
    <s v="Receipt(1)"/>
    <s v="Mexico"/>
    <m/>
    <m/>
    <m/>
  </r>
  <r>
    <x v="14"/>
    <x v="54"/>
    <x v="29"/>
    <s v="SERVI QUIM DE MONTERREY SA DE CV"/>
    <x v="29"/>
    <x v="1"/>
    <x v="17"/>
    <x v="3"/>
    <d v="2026-08-07T00:00:00"/>
    <d v="2026-07-14T15:34:14"/>
    <x v="12"/>
    <n v="3366"/>
    <s v="Approved"/>
    <n v="0"/>
    <n v="2"/>
    <n v="0"/>
    <n v="0"/>
    <s v="Open"/>
    <x v="1"/>
    <s v="CORPORATIVO"/>
    <n v="4"/>
    <m/>
    <n v="1"/>
    <n v="0"/>
    <n v="0"/>
    <s v="MXN"/>
    <s v="Receipt(1)"/>
    <s v="Mexico"/>
    <m/>
    <m/>
    <m/>
  </r>
  <r>
    <x v="14"/>
    <x v="54"/>
    <x v="7"/>
    <s v="SERVI QUIM DE MONTERREY SA DE CV"/>
    <x v="7"/>
    <x v="1"/>
    <x v="21"/>
    <x v="3"/>
    <d v="2026-08-07T00:00:00"/>
    <d v="2026-07-14T15:34:14"/>
    <x v="12"/>
    <n v="7590"/>
    <s v="Approved"/>
    <n v="0"/>
    <n v="3"/>
    <n v="0"/>
    <n v="0"/>
    <s v="Open"/>
    <x v="1"/>
    <s v="CORPORATIVO"/>
    <n v="5"/>
    <m/>
    <n v="1"/>
    <n v="0"/>
    <n v="0"/>
    <s v="MXN"/>
    <s v="Receipt(1)"/>
    <s v="Mexico"/>
    <m/>
    <m/>
    <m/>
  </r>
  <r>
    <x v="14"/>
    <x v="55"/>
    <x v="20"/>
    <s v="SERVI QUIM DE MONTERREY SA DE CV"/>
    <x v="20"/>
    <x v="1"/>
    <x v="5"/>
    <x v="2"/>
    <d v="2026-08-07T00:00:00"/>
    <d v="2026-07-14T15:29:39"/>
    <x v="12"/>
    <n v="7840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5"/>
    <x v="8"/>
    <s v="SERVI QUIM DE MONTERREY SA DE CV"/>
    <x v="8"/>
    <x v="1"/>
    <x v="11"/>
    <x v="2"/>
    <d v="2026-08-07T00:00:00"/>
    <d v="2026-07-14T15:29:39"/>
    <x v="12"/>
    <n v="3709.2"/>
    <s v="Approved"/>
    <n v="0"/>
    <n v="6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55"/>
    <x v="6"/>
    <s v="SERVI QUIM DE MONTERREY SA DE CV"/>
    <x v="6"/>
    <x v="1"/>
    <x v="11"/>
    <x v="2"/>
    <d v="2026-08-07T00:00:00"/>
    <d v="2026-07-14T15:29:39"/>
    <x v="12"/>
    <n v="5610"/>
    <s v="Approved"/>
    <n v="0"/>
    <n v="6"/>
    <n v="0"/>
    <n v="0"/>
    <s v="Open"/>
    <x v="1"/>
    <s v="CORPORATIVO"/>
    <n v="3"/>
    <m/>
    <n v="1"/>
    <n v="0"/>
    <n v="0"/>
    <s v="MXN"/>
    <s v="Receipt(1)"/>
    <s v="Mexico"/>
    <m/>
    <m/>
    <m/>
  </r>
  <r>
    <x v="14"/>
    <x v="56"/>
    <x v="14"/>
    <s v="SERVI QUIM DE MONTERREY SA DE CV"/>
    <x v="14"/>
    <x v="1"/>
    <x v="18"/>
    <x v="0"/>
    <d v="2026-08-07T00:00:00"/>
    <d v="2026-07-14T15:26:35"/>
    <x v="12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7"/>
    <x v="24"/>
    <s v="SERVI QUIM DE MONTERREY SA DE CV"/>
    <x v="24"/>
    <x v="0"/>
    <x v="21"/>
    <x v="3"/>
    <d v="2026-08-07T00:00:00"/>
    <d v="2026-07-14T15:22:00"/>
    <x v="12"/>
    <n v="1590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8"/>
    <x v="17"/>
    <s v="SERVI QUIM DE MONTERREY SA DE CV"/>
    <x v="17"/>
    <x v="1"/>
    <x v="22"/>
    <x v="0"/>
    <d v="2026-08-07T00:00:00"/>
    <d v="2026-07-14T15:12:50"/>
    <x v="12"/>
    <n v="13090"/>
    <s v="Approved"/>
    <n v="0"/>
    <n v="7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8"/>
    <x v="4"/>
    <s v="SERVI QUIM DE MONTERREY SA DE CV"/>
    <x v="4"/>
    <x v="1"/>
    <x v="20"/>
    <x v="0"/>
    <d v="2026-08-07T00:00:00"/>
    <d v="2026-07-14T15:12:50"/>
    <x v="12"/>
    <n v="14572.8"/>
    <s v="Approved"/>
    <n v="0"/>
    <n v="23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58"/>
    <x v="22"/>
    <s v="SERVI QUIM DE MONTERREY SA DE CV"/>
    <x v="22"/>
    <x v="1"/>
    <x v="22"/>
    <x v="0"/>
    <d v="2026-08-07T00:00:00"/>
    <d v="2026-07-14T15:12:50"/>
    <x v="12"/>
    <n v="10225.6"/>
    <s v="Approved"/>
    <n v="0"/>
    <n v="7"/>
    <n v="0"/>
    <n v="0"/>
    <s v="Open"/>
    <x v="1"/>
    <s v="CORPORATIVO"/>
    <n v="3"/>
    <m/>
    <n v="1"/>
    <n v="0"/>
    <n v="0"/>
    <s v="MXN"/>
    <s v="Receipt(1)"/>
    <s v="Mexico"/>
    <m/>
    <m/>
    <m/>
  </r>
  <r>
    <x v="14"/>
    <x v="58"/>
    <x v="29"/>
    <s v="SERVI QUIM DE MONTERREY SA DE CV"/>
    <x v="29"/>
    <x v="1"/>
    <x v="21"/>
    <x v="0"/>
    <d v="2026-08-07T00:00:00"/>
    <d v="2026-07-14T15:12:50"/>
    <x v="12"/>
    <n v="5049"/>
    <s v="Approved"/>
    <n v="0"/>
    <n v="3"/>
    <n v="0"/>
    <n v="0"/>
    <s v="Open"/>
    <x v="1"/>
    <s v="CORPORATIVO"/>
    <n v="4"/>
    <m/>
    <n v="1"/>
    <n v="0"/>
    <n v="0"/>
    <s v="MXN"/>
    <s v="Receipt(1)"/>
    <s v="Mexico"/>
    <m/>
    <m/>
    <m/>
  </r>
  <r>
    <x v="14"/>
    <x v="58"/>
    <x v="12"/>
    <s v="SERVI QUIM DE MONTERREY SA DE CV"/>
    <x v="12"/>
    <x v="1"/>
    <x v="2"/>
    <x v="0"/>
    <d v="2026-08-07T00:00:00"/>
    <d v="2026-07-14T15:12:50"/>
    <x v="12"/>
    <n v="8514"/>
    <s v="Approved"/>
    <n v="0"/>
    <n v="9"/>
    <n v="0"/>
    <n v="0"/>
    <s v="Open"/>
    <x v="1"/>
    <s v="CORPORATIVO"/>
    <n v="5"/>
    <m/>
    <n v="1"/>
    <n v="0"/>
    <n v="0"/>
    <s v="MXN"/>
    <s v="Receipt(1)"/>
    <s v="Mexico"/>
    <m/>
    <m/>
    <m/>
  </r>
  <r>
    <x v="14"/>
    <x v="59"/>
    <x v="4"/>
    <s v="SERVI QUIM DE MONTERREY SA DE CV"/>
    <x v="4"/>
    <x v="1"/>
    <x v="5"/>
    <x v="1"/>
    <d v="2026-08-07T00:00:00"/>
    <d v="2026-07-10T11:40:58"/>
    <x v="12"/>
    <n v="3168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59"/>
    <x v="8"/>
    <s v="SERVI QUIM DE MONTERREY SA DE CV"/>
    <x v="8"/>
    <x v="1"/>
    <x v="34"/>
    <x v="1"/>
    <d v="2026-08-07T00:00:00"/>
    <d v="2026-07-10T11:40:58"/>
    <x v="12"/>
    <n v="9273"/>
    <s v="Approved"/>
    <n v="0"/>
    <n v="15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59"/>
    <x v="9"/>
    <s v="SERVI QUIM DE MONTERREY SA DE CV"/>
    <x v="9"/>
    <x v="1"/>
    <x v="4"/>
    <x v="1"/>
    <d v="2026-08-07T00:00:00"/>
    <d v="2026-07-10T11:40:58"/>
    <x v="12"/>
    <n v="11242"/>
    <s v="Approved"/>
    <n v="0"/>
    <n v="11"/>
    <n v="0"/>
    <n v="0"/>
    <s v="Open"/>
    <x v="1"/>
    <s v="CORPORATIVO"/>
    <n v="3"/>
    <m/>
    <n v="1"/>
    <n v="0"/>
    <n v="0"/>
    <s v="MXN"/>
    <s v="Receipt(1)"/>
    <s v="Mexico"/>
    <m/>
    <m/>
    <m/>
  </r>
  <r>
    <x v="14"/>
    <x v="60"/>
    <x v="20"/>
    <s v="SERVI QUIM DE MONTERREY SA DE CV"/>
    <x v="20"/>
    <x v="1"/>
    <x v="21"/>
    <x v="0"/>
    <d v="2026-08-07T00:00:00"/>
    <d v="2026-07-10T11:39:27"/>
    <x v="12"/>
    <n v="4705.8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60"/>
    <x v="8"/>
    <s v="SERVI QUIM DE MONTERREY SA DE CV"/>
    <x v="8"/>
    <x v="1"/>
    <x v="19"/>
    <x v="0"/>
    <d v="2026-08-07T00:00:00"/>
    <d v="2026-07-10T11:39:27"/>
    <x v="12"/>
    <n v="11745.8"/>
    <s v="Approved"/>
    <n v="0"/>
    <n v="19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60"/>
    <x v="21"/>
    <s v="SERVI QUIM DE MONTERREY SA DE CV"/>
    <x v="21"/>
    <x v="0"/>
    <x v="17"/>
    <x v="0"/>
    <d v="2026-08-07T00:00:00"/>
    <d v="2026-07-10T11:39:27"/>
    <x v="12"/>
    <n v="446"/>
    <s v="Approved"/>
    <n v="0"/>
    <n v="2"/>
    <n v="0"/>
    <n v="0"/>
    <s v="Open"/>
    <x v="1"/>
    <s v="CORPORATIVO"/>
    <n v="3"/>
    <m/>
    <n v="1"/>
    <n v="0"/>
    <n v="0"/>
    <s v="MXN"/>
    <s v="Receipt(1)"/>
    <s v="Mexico"/>
    <m/>
    <m/>
    <m/>
  </r>
  <r>
    <x v="14"/>
    <x v="60"/>
    <x v="7"/>
    <s v="SERVI QUIM DE MONTERREY SA DE CV"/>
    <x v="7"/>
    <x v="1"/>
    <x v="21"/>
    <x v="0"/>
    <d v="2026-08-07T00:00:00"/>
    <d v="2026-07-10T11:39:27"/>
    <x v="12"/>
    <n v="7590"/>
    <s v="Approved"/>
    <n v="0"/>
    <n v="3"/>
    <n v="0"/>
    <n v="0"/>
    <s v="Open"/>
    <x v="1"/>
    <s v="CORPORATIVO"/>
    <n v="4"/>
    <m/>
    <n v="1"/>
    <n v="0"/>
    <n v="0"/>
    <s v="MXN"/>
    <s v="Receipt(1)"/>
    <s v="Mexico"/>
    <m/>
    <m/>
    <m/>
  </r>
  <r>
    <x v="14"/>
    <x v="61"/>
    <x v="6"/>
    <s v="SERVI QUIM DE MONTERREY SA DE CV"/>
    <x v="6"/>
    <x v="1"/>
    <x v="22"/>
    <x v="2"/>
    <d v="2026-08-07T00:00:00"/>
    <d v="2026-07-10T11:37:55"/>
    <x v="12"/>
    <n v="6545"/>
    <s v="Approved"/>
    <n v="0"/>
    <n v="7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62"/>
    <x v="9"/>
    <s v="SERVI QUIM DE MONTERREY SA DE CV"/>
    <x v="9"/>
    <x v="1"/>
    <x v="21"/>
    <x v="3"/>
    <d v="2026-08-07T00:00:00"/>
    <d v="2026-07-10T11:33:20"/>
    <x v="12"/>
    <n v="3066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62"/>
    <x v="12"/>
    <s v="SERVI QUIM DE MONTERREY SA DE CV"/>
    <x v="12"/>
    <x v="1"/>
    <x v="14"/>
    <x v="3"/>
    <d v="2026-08-07T00:00:00"/>
    <d v="2026-07-10T11:33:20"/>
    <x v="12"/>
    <n v="946"/>
    <s v="Approved"/>
    <n v="0"/>
    <n v="1"/>
    <n v="0"/>
    <n v="0"/>
    <s v="Open"/>
    <x v="1"/>
    <s v="CORPORATIVO"/>
    <n v="2"/>
    <m/>
    <n v="1"/>
    <n v="0"/>
    <n v="0"/>
    <s v="MXN"/>
    <s v="Receipt(1)"/>
    <s v="Mexico"/>
    <m/>
    <m/>
    <m/>
  </r>
  <r>
    <x v="14"/>
    <x v="63"/>
    <x v="24"/>
    <s v="SERVI QUIM DE MONTERREY SA DE CV"/>
    <x v="24"/>
    <x v="0"/>
    <x v="15"/>
    <x v="0"/>
    <d v="2026-08-07T00:00:00"/>
    <d v="2026-07-10T10:10:22"/>
    <x v="12"/>
    <n v="2120"/>
    <s v="Approved"/>
    <n v="0"/>
    <n v="4"/>
    <n v="0"/>
    <n v="0"/>
    <s v="Open"/>
    <x v="1"/>
    <s v="CORPORATIVO"/>
    <n v="1"/>
    <m/>
    <n v="1"/>
    <n v="0"/>
    <n v="0"/>
    <s v="MXN"/>
    <s v="Receipt(1)"/>
    <s v="Mexico"/>
    <m/>
    <m/>
    <m/>
  </r>
  <r>
    <x v="14"/>
    <x v="64"/>
    <x v="14"/>
    <s v="SERVI QUIM DE MONTERREY SA DE CV"/>
    <x v="14"/>
    <x v="1"/>
    <x v="18"/>
    <x v="1"/>
    <d v="2026-08-07T00:00:00"/>
    <d v="2026-06-29T17:31:22"/>
    <x v="12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5"/>
    <x v="18"/>
    <s v="SERVI QUIM DE MONTERREY SA DE CV"/>
    <x v="18"/>
    <x v="0"/>
    <x v="21"/>
    <x v="0"/>
    <d v="2026-08-14T00:00:00"/>
    <d v="2026-07-14T15:52:35"/>
    <x v="13"/>
    <n v="144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5"/>
    <x v="16"/>
    <s v="SERVI QUIM DE MONTERREY SA DE CV"/>
    <x v="16"/>
    <x v="0"/>
    <x v="21"/>
    <x v="0"/>
    <d v="2026-08-14T00:00:00"/>
    <d v="2026-07-14T15:52:35"/>
    <x v="13"/>
    <n v="144"/>
    <s v="Approved"/>
    <n v="0"/>
    <n v="3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66"/>
    <x v="4"/>
    <s v="SERVI QUIM DE MONTERREY SA DE CV"/>
    <x v="4"/>
    <x v="1"/>
    <x v="0"/>
    <x v="1"/>
    <d v="2026-08-14T00:00:00"/>
    <d v="2026-07-14T15:44:56"/>
    <x v="13"/>
    <n v="5068.8"/>
    <s v="Approved"/>
    <n v="0"/>
    <n v="8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6"/>
    <x v="8"/>
    <s v="SERVI QUIM DE MONTERREY SA DE CV"/>
    <x v="8"/>
    <x v="1"/>
    <x v="20"/>
    <x v="1"/>
    <d v="2026-08-14T00:00:00"/>
    <d v="2026-07-14T15:44:56"/>
    <x v="13"/>
    <n v="14218.6"/>
    <s v="Approved"/>
    <n v="0"/>
    <n v="23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66"/>
    <x v="9"/>
    <s v="SERVI QUIM DE MONTERREY SA DE CV"/>
    <x v="9"/>
    <x v="1"/>
    <x v="11"/>
    <x v="1"/>
    <d v="2026-08-14T00:00:00"/>
    <d v="2026-07-14T15:44:56"/>
    <x v="13"/>
    <n v="6132"/>
    <s v="Approved"/>
    <n v="0"/>
    <n v="6"/>
    <n v="0"/>
    <n v="0"/>
    <s v="Open"/>
    <x v="1"/>
    <s v="CORPORATIVO"/>
    <n v="3"/>
    <m/>
    <n v="1"/>
    <n v="0"/>
    <n v="0"/>
    <s v="MXN"/>
    <s v="Receipt(1)"/>
    <s v="Mexico"/>
    <m/>
    <m/>
    <m/>
  </r>
  <r>
    <x v="15"/>
    <x v="67"/>
    <x v="14"/>
    <s v="SERVI QUIM DE MONTERREY SA DE CV"/>
    <x v="14"/>
    <x v="1"/>
    <x v="18"/>
    <x v="1"/>
    <d v="2026-08-14T00:00:00"/>
    <d v="2026-07-14T15:43:23"/>
    <x v="13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7"/>
    <x v="30"/>
    <s v="SERVI QUIM DE MONTERREY SA DE CV"/>
    <x v="30"/>
    <x v="1"/>
    <x v="6"/>
    <x v="1"/>
    <d v="2026-08-14T00:00:00"/>
    <d v="2026-07-14T15:43:23"/>
    <x v="13"/>
    <n v="12788.5"/>
    <s v="Approved"/>
    <n v="0"/>
    <n v="10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68"/>
    <x v="17"/>
    <s v="SERVI QUIM DE MONTERREY SA DE CV"/>
    <x v="17"/>
    <x v="1"/>
    <x v="17"/>
    <x v="3"/>
    <d v="2026-08-14T00:00:00"/>
    <d v="2026-07-14T15:35:45"/>
    <x v="13"/>
    <n v="3740"/>
    <s v="Approved"/>
    <n v="0"/>
    <n v="2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8"/>
    <x v="4"/>
    <s v="SERVI QUIM DE MONTERREY SA DE CV"/>
    <x v="4"/>
    <x v="1"/>
    <x v="17"/>
    <x v="3"/>
    <d v="2026-08-14T00:00:00"/>
    <d v="2026-07-14T15:35:45"/>
    <x v="13"/>
    <n v="1267.2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68"/>
    <x v="8"/>
    <s v="SERVI QUIM DE MONTERREY SA DE CV"/>
    <x v="8"/>
    <x v="1"/>
    <x v="5"/>
    <x v="3"/>
    <d v="2026-08-14T00:00:00"/>
    <d v="2026-07-14T15:35:45"/>
    <x v="13"/>
    <n v="3091"/>
    <s v="Approved"/>
    <n v="0"/>
    <n v="5"/>
    <n v="0"/>
    <n v="0"/>
    <s v="Open"/>
    <x v="1"/>
    <s v="CORPORATIVO"/>
    <n v="3"/>
    <m/>
    <n v="1"/>
    <n v="0"/>
    <n v="0"/>
    <s v="MXN"/>
    <s v="Receipt(1)"/>
    <s v="Mexico"/>
    <m/>
    <m/>
    <m/>
  </r>
  <r>
    <x v="15"/>
    <x v="68"/>
    <x v="9"/>
    <s v="SERVI QUIM DE MONTERREY SA DE CV"/>
    <x v="9"/>
    <x v="1"/>
    <x v="21"/>
    <x v="3"/>
    <d v="2026-08-14T00:00:00"/>
    <d v="2026-07-14T15:35:45"/>
    <x v="13"/>
    <n v="3066"/>
    <s v="Approved"/>
    <n v="0"/>
    <n v="3"/>
    <n v="0"/>
    <n v="0"/>
    <s v="Open"/>
    <x v="1"/>
    <s v="CORPORATIVO"/>
    <n v="4"/>
    <m/>
    <n v="1"/>
    <n v="0"/>
    <n v="0"/>
    <s v="MXN"/>
    <s v="Receipt(1)"/>
    <s v="Mexico"/>
    <m/>
    <m/>
    <m/>
  </r>
  <r>
    <x v="15"/>
    <x v="68"/>
    <x v="6"/>
    <s v="SERVI QUIM DE MONTERREY SA DE CV"/>
    <x v="6"/>
    <x v="1"/>
    <x v="17"/>
    <x v="3"/>
    <d v="2026-08-14T00:00:00"/>
    <d v="2026-07-14T15:35:45"/>
    <x v="13"/>
    <n v="1870"/>
    <s v="Approved"/>
    <n v="0"/>
    <n v="2"/>
    <n v="0"/>
    <n v="0"/>
    <s v="Open"/>
    <x v="1"/>
    <s v="CORPORATIVO"/>
    <n v="5"/>
    <m/>
    <n v="1"/>
    <n v="0"/>
    <n v="0"/>
    <s v="MXN"/>
    <s v="Receipt(1)"/>
    <s v="Mexico"/>
    <m/>
    <m/>
    <m/>
  </r>
  <r>
    <x v="15"/>
    <x v="68"/>
    <x v="23"/>
    <s v="SERVI QUIM DE MONTERREY SA DE CV"/>
    <x v="23"/>
    <x v="1"/>
    <x v="17"/>
    <x v="3"/>
    <d v="2026-08-14T00:00:00"/>
    <d v="2026-07-14T15:35:45"/>
    <x v="13"/>
    <n v="3740"/>
    <s v="Approved"/>
    <n v="0"/>
    <n v="2"/>
    <n v="0"/>
    <n v="0"/>
    <s v="Open"/>
    <x v="1"/>
    <s v="CORPORATIVO"/>
    <n v="6"/>
    <m/>
    <n v="1"/>
    <n v="0"/>
    <n v="0"/>
    <s v="MXN"/>
    <s v="Receipt(1)"/>
    <s v="Mexico"/>
    <m/>
    <m/>
    <m/>
  </r>
  <r>
    <x v="15"/>
    <x v="68"/>
    <x v="12"/>
    <s v="SERVI QUIM DE MONTERREY SA DE CV"/>
    <x v="12"/>
    <x v="1"/>
    <x v="17"/>
    <x v="3"/>
    <d v="2026-08-14T00:00:00"/>
    <d v="2026-07-14T15:35:45"/>
    <x v="13"/>
    <n v="1892"/>
    <s v="Approved"/>
    <n v="0"/>
    <n v="2"/>
    <n v="0"/>
    <n v="0"/>
    <s v="Open"/>
    <x v="1"/>
    <s v="CORPORATIVO"/>
    <n v="7"/>
    <m/>
    <n v="1"/>
    <n v="0"/>
    <n v="0"/>
    <s v="MXN"/>
    <s v="Receipt(1)"/>
    <s v="Mexico"/>
    <m/>
    <m/>
    <m/>
  </r>
  <r>
    <x v="15"/>
    <x v="69"/>
    <x v="20"/>
    <s v="SERVI QUIM DE MONTERREY SA DE CV"/>
    <x v="20"/>
    <x v="1"/>
    <x v="5"/>
    <x v="2"/>
    <d v="2026-08-14T00:00:00"/>
    <d v="2026-07-14T15:28:07"/>
    <x v="13"/>
    <n v="7843"/>
    <s v="Approved"/>
    <n v="0"/>
    <n v="5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69"/>
    <x v="8"/>
    <s v="SERVI QUIM DE MONTERREY SA DE CV"/>
    <x v="8"/>
    <x v="1"/>
    <x v="11"/>
    <x v="2"/>
    <d v="2026-08-14T00:00:00"/>
    <d v="2026-07-14T15:28:07"/>
    <x v="13"/>
    <n v="3709.2"/>
    <s v="Approved"/>
    <n v="0"/>
    <n v="6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69"/>
    <x v="9"/>
    <s v="SERVI QUIM DE MONTERREY SA DE CV"/>
    <x v="9"/>
    <x v="1"/>
    <x v="5"/>
    <x v="2"/>
    <d v="2026-08-14T00:00:00"/>
    <d v="2026-07-14T15:28:07"/>
    <x v="13"/>
    <n v="5110"/>
    <s v="Approved"/>
    <n v="0"/>
    <n v="5"/>
    <n v="0"/>
    <n v="0"/>
    <s v="Open"/>
    <x v="1"/>
    <s v="CORPORATIVO"/>
    <n v="3"/>
    <m/>
    <n v="1"/>
    <n v="0"/>
    <n v="0"/>
    <s v="MXN"/>
    <s v="Receipt(1)"/>
    <s v="Mexico"/>
    <m/>
    <m/>
    <m/>
  </r>
  <r>
    <x v="15"/>
    <x v="69"/>
    <x v="6"/>
    <s v="SERVI QUIM DE MONTERREY SA DE CV"/>
    <x v="6"/>
    <x v="1"/>
    <x v="0"/>
    <x v="2"/>
    <d v="2026-08-14T00:00:00"/>
    <d v="2026-07-14T15:28:07"/>
    <x v="13"/>
    <n v="7480"/>
    <s v="Approved"/>
    <n v="0"/>
    <n v="8"/>
    <n v="0"/>
    <n v="0"/>
    <s v="Open"/>
    <x v="1"/>
    <s v="CORPORATIVO"/>
    <n v="4"/>
    <m/>
    <n v="1"/>
    <n v="0"/>
    <n v="0"/>
    <s v="MXN"/>
    <s v="Receipt(1)"/>
    <s v="Mexico"/>
    <m/>
    <m/>
    <m/>
  </r>
  <r>
    <x v="15"/>
    <x v="69"/>
    <x v="22"/>
    <s v="SERVI QUIM DE MONTERREY SA DE CV"/>
    <x v="22"/>
    <x v="1"/>
    <x v="15"/>
    <x v="2"/>
    <d v="2026-08-14T00:00:00"/>
    <d v="2026-07-14T15:28:07"/>
    <x v="13"/>
    <n v="5843.2"/>
    <s v="Approved"/>
    <n v="0"/>
    <n v="4"/>
    <n v="0"/>
    <n v="0"/>
    <s v="Open"/>
    <x v="1"/>
    <s v="CORPORATIVO"/>
    <n v="5"/>
    <m/>
    <n v="1"/>
    <n v="0"/>
    <n v="0"/>
    <s v="MXN"/>
    <s v="Receipt(1)"/>
    <s v="Mexico"/>
    <m/>
    <m/>
    <m/>
  </r>
  <r>
    <x v="15"/>
    <x v="69"/>
    <x v="12"/>
    <s v="SERVI QUIM DE MONTERREY SA DE CV"/>
    <x v="12"/>
    <x v="1"/>
    <x v="17"/>
    <x v="2"/>
    <d v="2026-08-14T00:00:00"/>
    <d v="2026-07-14T15:28:07"/>
    <x v="13"/>
    <n v="1892"/>
    <s v="Approved"/>
    <n v="0"/>
    <n v="2"/>
    <n v="0"/>
    <n v="0"/>
    <s v="Open"/>
    <x v="1"/>
    <s v="CORPORATIVO"/>
    <n v="6"/>
    <m/>
    <n v="1"/>
    <n v="0"/>
    <n v="0"/>
    <s v="MXN"/>
    <s v="Receipt(1)"/>
    <s v="Mexico"/>
    <m/>
    <m/>
    <m/>
  </r>
  <r>
    <x v="15"/>
    <x v="70"/>
    <x v="19"/>
    <s v="SERVI QUIM DE MONTERREY SA DE CV"/>
    <x v="19"/>
    <x v="1"/>
    <x v="22"/>
    <x v="0"/>
    <d v="2026-08-14T00:00:00"/>
    <d v="2026-07-14T15:14:22"/>
    <x v="13"/>
    <n v="11775.82"/>
    <s v="Approved"/>
    <n v="0"/>
    <n v="7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70"/>
    <x v="20"/>
    <s v="SERVI QUIM DE MONTERREY SA DE CV"/>
    <x v="20"/>
    <x v="1"/>
    <x v="22"/>
    <x v="0"/>
    <d v="2026-08-14T00:00:00"/>
    <d v="2026-07-14T15:14:22"/>
    <x v="13"/>
    <n v="10980.2"/>
    <s v="Approved"/>
    <n v="0"/>
    <n v="7"/>
    <n v="0"/>
    <n v="0"/>
    <s v="Open"/>
    <x v="1"/>
    <s v="CORPORATIVO"/>
    <n v="2"/>
    <m/>
    <n v="1"/>
    <n v="0"/>
    <n v="0"/>
    <s v="MXN"/>
    <s v="Receipt(1)"/>
    <s v="Mexico"/>
    <m/>
    <m/>
    <m/>
  </r>
  <r>
    <x v="15"/>
    <x v="70"/>
    <x v="8"/>
    <s v="SERVI QUIM DE MONTERREY SA DE CV"/>
    <x v="8"/>
    <x v="1"/>
    <x v="9"/>
    <x v="0"/>
    <d v="2026-08-14T00:00:00"/>
    <d v="2026-07-14T15:14:22"/>
    <x v="13"/>
    <n v="18546"/>
    <s v="Approved"/>
    <n v="0"/>
    <n v="30"/>
    <n v="0"/>
    <n v="0"/>
    <s v="Open"/>
    <x v="1"/>
    <s v="CORPORATIVO"/>
    <n v="3"/>
    <m/>
    <n v="1"/>
    <n v="0"/>
    <n v="0"/>
    <s v="MXN"/>
    <s v="Receipt(1)"/>
    <s v="Mexico"/>
    <m/>
    <m/>
    <m/>
  </r>
  <r>
    <x v="15"/>
    <x v="70"/>
    <x v="9"/>
    <s v="SERVI QUIM DE MONTERREY SA DE CV"/>
    <x v="9"/>
    <x v="1"/>
    <x v="10"/>
    <x v="0"/>
    <d v="2026-08-14T00:00:00"/>
    <d v="2026-07-14T15:14:22"/>
    <x v="13"/>
    <n v="40880"/>
    <s v="Approved"/>
    <n v="0"/>
    <n v="40"/>
    <n v="0"/>
    <n v="0"/>
    <s v="Open"/>
    <x v="1"/>
    <s v="CORPORATIVO"/>
    <n v="4"/>
    <m/>
    <n v="1"/>
    <n v="0"/>
    <n v="0"/>
    <s v="MXN"/>
    <s v="Receipt(1)"/>
    <s v="Mexico"/>
    <m/>
    <m/>
    <m/>
  </r>
  <r>
    <x v="15"/>
    <x v="70"/>
    <x v="21"/>
    <s v="SERVI QUIM DE MONTERREY SA DE CV"/>
    <x v="21"/>
    <x v="0"/>
    <x v="22"/>
    <x v="0"/>
    <d v="2026-08-14T00:00:00"/>
    <d v="2026-07-14T15:14:22"/>
    <x v="13"/>
    <n v="1561"/>
    <s v="Approved"/>
    <n v="0"/>
    <n v="7"/>
    <n v="0"/>
    <n v="0"/>
    <s v="Open"/>
    <x v="1"/>
    <s v="CORPORATIVO"/>
    <n v="5"/>
    <m/>
    <n v="1"/>
    <n v="0"/>
    <n v="0"/>
    <s v="MXN"/>
    <s v="Receipt(1)"/>
    <s v="Mexico"/>
    <m/>
    <m/>
    <m/>
  </r>
  <r>
    <x v="15"/>
    <x v="71"/>
    <x v="24"/>
    <s v="SERVI QUIM DE MONTERREY SA DE CV"/>
    <x v="24"/>
    <x v="0"/>
    <x v="6"/>
    <x v="0"/>
    <d v="2026-08-14T00:00:00"/>
    <d v="2026-07-14T15:09:47"/>
    <x v="13"/>
    <n v="5300"/>
    <s v="Approved"/>
    <n v="0"/>
    <n v="10"/>
    <n v="0"/>
    <n v="0"/>
    <s v="Open"/>
    <x v="1"/>
    <s v="CORPORATIVO"/>
    <n v="1"/>
    <m/>
    <n v="1"/>
    <n v="0"/>
    <n v="0"/>
    <s v="MXN"/>
    <s v="Receipt(1)"/>
    <s v="Mexico"/>
    <m/>
    <m/>
    <m/>
  </r>
  <r>
    <x v="15"/>
    <x v="72"/>
    <x v="27"/>
    <s v="SERVI QUIM DE MONTERREY SA DE CV"/>
    <x v="27"/>
    <x v="1"/>
    <x v="21"/>
    <x v="0"/>
    <d v="2026-08-14T00:00:00"/>
    <d v="2026-07-10T10:07:18"/>
    <x v="13"/>
    <n v="3836.55"/>
    <s v="Approved"/>
    <n v="0"/>
    <n v="3"/>
    <n v="0"/>
    <n v="0"/>
    <s v="Open"/>
    <x v="1"/>
    <s v="CORPORATIVO"/>
    <n v="1"/>
    <m/>
    <n v="1"/>
    <n v="0"/>
    <n v="0"/>
    <s v="MXN"/>
    <s v="Receipt(1)"/>
    <s v="Mexico"/>
    <m/>
    <m/>
    <m/>
  </r>
  <r>
    <x v="16"/>
    <x v="73"/>
    <x v="0"/>
    <s v="SERVI QUIM DE MONTERREY SA DE CV"/>
    <x v="0"/>
    <x v="0"/>
    <x v="16"/>
    <x v="1"/>
    <d v="2026-08-21T00:00:00"/>
    <d v="2026-07-14T15:46:28"/>
    <x v="14"/>
    <n v="31413.360000000001"/>
    <s v="Approved"/>
    <n v="0"/>
    <n v="24"/>
    <n v="0"/>
    <n v="0"/>
    <s v="Open"/>
    <x v="1"/>
    <s v="CORPORATIVO"/>
    <n v="1"/>
    <m/>
    <n v="1"/>
    <n v="0"/>
    <n v="0"/>
    <s v="MXN"/>
    <s v="Receipt(1)"/>
    <s v="Mexico"/>
    <m/>
    <m/>
    <m/>
  </r>
  <r>
    <x v="16"/>
    <x v="74"/>
    <x v="8"/>
    <s v="SERVI QUIM DE MONTERREY SA DE CV"/>
    <x v="8"/>
    <x v="1"/>
    <x v="11"/>
    <x v="2"/>
    <d v="2026-08-21T00:00:00"/>
    <d v="2026-07-14T15:31:10"/>
    <x v="14"/>
    <n v="3709.2"/>
    <s v="Approved"/>
    <n v="0"/>
    <n v="6"/>
    <n v="0"/>
    <n v="0"/>
    <s v="Open"/>
    <x v="1"/>
    <s v="CORPORATIVO"/>
    <n v="1"/>
    <m/>
    <n v="1"/>
    <n v="0"/>
    <n v="0"/>
    <s v="MXN"/>
    <s v="Receipt(1)"/>
    <s v="Mexico"/>
    <m/>
    <m/>
    <m/>
  </r>
  <r>
    <x v="16"/>
    <x v="74"/>
    <x v="12"/>
    <s v="SERVI QUIM DE MONTERREY SA DE CV"/>
    <x v="12"/>
    <x v="1"/>
    <x v="17"/>
    <x v="2"/>
    <d v="2026-08-21T00:00:00"/>
    <d v="2026-07-14T15:31:10"/>
    <x v="14"/>
    <n v="1892"/>
    <s v="Approved"/>
    <n v="0"/>
    <n v="2"/>
    <n v="0"/>
    <n v="0"/>
    <s v="Open"/>
    <x v="1"/>
    <s v="CORPORATIVO"/>
    <n v="2"/>
    <m/>
    <n v="1"/>
    <n v="0"/>
    <n v="0"/>
    <s v="MXN"/>
    <s v="Receipt(1)"/>
    <s v="Mexico"/>
    <m/>
    <m/>
    <m/>
  </r>
  <r>
    <x v="16"/>
    <x v="75"/>
    <x v="14"/>
    <s v="SERVI QUIM DE MONTERREY SA DE CV"/>
    <x v="14"/>
    <x v="1"/>
    <x v="18"/>
    <x v="1"/>
    <d v="2026-08-21T00:00:00"/>
    <d v="2026-07-14T15:08:14"/>
    <x v="14"/>
    <n v="169317"/>
    <s v="Approved"/>
    <n v="0"/>
    <n v="300"/>
    <n v="0"/>
    <n v="0"/>
    <s v="Open"/>
    <x v="1"/>
    <s v="CORPORATIVO"/>
    <n v="1"/>
    <m/>
    <n v="1"/>
    <n v="0"/>
    <n v="0"/>
    <s v="MXN"/>
    <s v="Receipt(1)"/>
    <s v="Mexico"/>
    <m/>
    <m/>
    <m/>
  </r>
  <r>
    <x v="17"/>
    <x v="76"/>
    <x v="31"/>
    <m/>
    <x v="31"/>
    <x v="2"/>
    <x v="35"/>
    <x v="4"/>
    <m/>
    <m/>
    <x v="15"/>
    <m/>
    <m/>
    <m/>
    <m/>
    <m/>
    <m/>
    <m/>
    <x v="2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5E4BD-8040-46B5-972A-F954B0E00C32}" name="TablaDinámica1" cacheId="80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H189" firstHeaderRow="1" firstDataRow="1" firstDataCol="8" rowPageCount="1" colPageCount="1"/>
  <pivotFields count="31"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7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7">
        <item x="0"/>
        <item x="15"/>
        <item x="4"/>
        <item x="3"/>
        <item x="2"/>
        <item x="14"/>
        <item x="1"/>
        <item x="8"/>
        <item x="7"/>
        <item x="12"/>
        <item x="6"/>
        <item x="5"/>
        <item x="31"/>
        <item x="10"/>
        <item x="21"/>
        <item x="9"/>
        <item x="30"/>
        <item x="11"/>
        <item x="29"/>
        <item x="28"/>
        <item x="20"/>
        <item x="41"/>
        <item x="16"/>
        <item x="19"/>
        <item x="13"/>
        <item x="40"/>
        <item x="27"/>
        <item x="52"/>
        <item x="51"/>
        <item x="39"/>
        <item x="23"/>
        <item x="22"/>
        <item x="18"/>
        <item x="50"/>
        <item x="64"/>
        <item x="49"/>
        <item x="38"/>
        <item x="48"/>
        <item x="17"/>
        <item x="26"/>
        <item x="25"/>
        <item x="72"/>
        <item x="37"/>
        <item x="63"/>
        <item x="62"/>
        <item x="36"/>
        <item x="47"/>
        <item x="61"/>
        <item x="60"/>
        <item x="59"/>
        <item x="35"/>
        <item x="24"/>
        <item x="75"/>
        <item x="71"/>
        <item x="34"/>
        <item x="58"/>
        <item x="70"/>
        <item x="33"/>
        <item x="46"/>
        <item x="57"/>
        <item x="32"/>
        <item x="56"/>
        <item x="69"/>
        <item x="55"/>
        <item x="74"/>
        <item x="45"/>
        <item x="54"/>
        <item x="68"/>
        <item x="44"/>
        <item x="67"/>
        <item x="66"/>
        <item x="73"/>
        <item x="53"/>
        <item x="43"/>
        <item x="42"/>
        <item x="65"/>
        <item x="76"/>
      </items>
    </pivotField>
    <pivotField axis="axisRow" compact="0" outline="0" showAll="0" defaultSubtotal="0">
      <items count="32">
        <item x="26"/>
        <item x="16"/>
        <item x="15"/>
        <item x="13"/>
        <item x="18"/>
        <item x="0"/>
        <item x="21"/>
        <item x="24"/>
        <item x="10"/>
        <item x="27"/>
        <item x="30"/>
        <item x="5"/>
        <item x="9"/>
        <item x="3"/>
        <item x="1"/>
        <item x="2"/>
        <item x="8"/>
        <item x="4"/>
        <item x="12"/>
        <item x="28"/>
        <item x="25"/>
        <item x="6"/>
        <item x="7"/>
        <item x="22"/>
        <item x="20"/>
        <item x="19"/>
        <item x="23"/>
        <item x="29"/>
        <item x="17"/>
        <item x="11"/>
        <item x="14"/>
        <item x="31"/>
      </items>
    </pivotField>
    <pivotField compact="0" outline="0" showAll="0" defaultSubtotal="0"/>
    <pivotField axis="axisRow" compact="0" outline="0" showAll="0" defaultSubtotal="0">
      <items count="32">
        <item x="17"/>
        <item x="13"/>
        <item x="15"/>
        <item x="18"/>
        <item x="16"/>
        <item x="28"/>
        <item x="4"/>
        <item x="5"/>
        <item x="19"/>
        <item x="20"/>
        <item x="8"/>
        <item x="9"/>
        <item x="25"/>
        <item x="0"/>
        <item x="10"/>
        <item x="11"/>
        <item x="21"/>
        <item x="26"/>
        <item x="14"/>
        <item x="6"/>
        <item x="22"/>
        <item x="29"/>
        <item x="7"/>
        <item x="23"/>
        <item x="24"/>
        <item x="2"/>
        <item x="3"/>
        <item x="1"/>
        <item x="12"/>
        <item x="30"/>
        <item x="27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">
        <item x="14"/>
        <item x="17"/>
        <item x="21"/>
        <item x="15"/>
        <item x="5"/>
        <item x="11"/>
        <item x="22"/>
        <item x="0"/>
        <item x="2"/>
        <item x="6"/>
        <item x="4"/>
        <item x="31"/>
        <item x="34"/>
        <item x="28"/>
        <item x="1"/>
        <item x="19"/>
        <item x="29"/>
        <item x="13"/>
        <item x="3"/>
        <item x="20"/>
        <item x="16"/>
        <item x="7"/>
        <item x="25"/>
        <item x="9"/>
        <item x="33"/>
        <item x="10"/>
        <item x="27"/>
        <item x="12"/>
        <item x="30"/>
        <item x="24"/>
        <item x="8"/>
        <item x="18"/>
        <item x="26"/>
        <item x="23"/>
        <item x="32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axis="axisRow" compact="0" outline="0" subtotalTop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8">
    <field x="1"/>
    <field x="4"/>
    <field x="0"/>
    <field x="7"/>
    <field x="5"/>
    <field x="6"/>
    <field x="10"/>
    <field x="2"/>
  </rowFields>
  <rowItems count="186">
    <i>
      <x v="1"/>
      <x v="6"/>
      <x v="7"/>
      <x/>
      <x/>
      <x v="10"/>
      <x v="6"/>
      <x v="17"/>
    </i>
    <i r="1">
      <x v="7"/>
      <x v="7"/>
      <x/>
      <x/>
      <x v="4"/>
      <x v="6"/>
      <x v="11"/>
    </i>
    <i r="1">
      <x v="10"/>
      <x v="7"/>
      <x/>
      <x/>
      <x v="19"/>
      <x v="6"/>
      <x v="16"/>
    </i>
    <i>
      <x v="2"/>
      <x v="13"/>
      <x v="1"/>
      <x/>
      <x v="1"/>
      <x v="4"/>
      <x v="1"/>
      <x v="5"/>
    </i>
    <i>
      <x v="3"/>
      <x v="25"/>
      <x v="1"/>
      <x v="1"/>
      <x/>
      <x v="7"/>
      <x v="1"/>
      <x v="15"/>
    </i>
    <i r="1">
      <x v="26"/>
      <x v="1"/>
      <x v="1"/>
      <x/>
      <x v="10"/>
      <x v="1"/>
      <x v="13"/>
    </i>
    <i r="1">
      <x v="27"/>
      <x v="1"/>
      <x v="1"/>
      <x/>
      <x v="7"/>
      <x v="1"/>
      <x v="14"/>
    </i>
    <i>
      <x v="4"/>
      <x v="25"/>
      <x v="1"/>
      <x/>
      <x/>
      <x v="8"/>
      <x v="1"/>
      <x v="15"/>
    </i>
    <i r="1">
      <x v="26"/>
      <x v="1"/>
      <x/>
      <x/>
      <x v="18"/>
      <x v="1"/>
      <x v="13"/>
    </i>
    <i r="1">
      <x v="27"/>
      <x v="1"/>
      <x/>
      <x/>
      <x v="18"/>
      <x v="1"/>
      <x v="14"/>
    </i>
    <i>
      <x v="5"/>
      <x v="26"/>
      <x v="7"/>
      <x/>
      <x/>
      <x v="20"/>
      <x v="6"/>
      <x v="13"/>
    </i>
    <i r="1">
      <x v="27"/>
      <x v="7"/>
      <x/>
      <x/>
      <x v="15"/>
      <x v="6"/>
      <x v="14"/>
    </i>
    <i>
      <x v="6"/>
      <x v="27"/>
      <x v="1"/>
      <x/>
      <x/>
      <x v="14"/>
      <x v="1"/>
      <x v="14"/>
    </i>
    <i>
      <x v="7"/>
      <x v="1"/>
      <x v="3"/>
      <x v="1"/>
      <x v="1"/>
      <x v="1"/>
      <x v="3"/>
      <x v="3"/>
    </i>
    <i>
      <x v="8"/>
      <x v="13"/>
      <x v="2"/>
      <x v="1"/>
      <x v="1"/>
      <x v="20"/>
      <x v="2"/>
      <x v="5"/>
    </i>
    <i>
      <x v="9"/>
      <x/>
      <x v="5"/>
      <x v="1"/>
      <x/>
      <x/>
      <x v="5"/>
      <x v="28"/>
    </i>
    <i r="1">
      <x v="1"/>
      <x v="5"/>
      <x v="1"/>
      <x v="1"/>
      <x/>
      <x v="5"/>
      <x v="3"/>
    </i>
    <i r="1">
      <x v="2"/>
      <x v="5"/>
      <x v="1"/>
      <x v="1"/>
      <x/>
      <x v="5"/>
      <x v="2"/>
    </i>
    <i r="1">
      <x v="3"/>
      <x v="5"/>
      <x v="1"/>
      <x v="1"/>
      <x/>
      <x v="5"/>
      <x v="4"/>
    </i>
    <i r="1">
      <x v="4"/>
      <x v="5"/>
      <x v="1"/>
      <x v="1"/>
      <x/>
      <x v="5"/>
      <x v="1"/>
    </i>
    <i r="1">
      <x v="8"/>
      <x v="5"/>
      <x v="1"/>
      <x/>
      <x/>
      <x v="5"/>
      <x v="25"/>
    </i>
    <i r="1">
      <x v="9"/>
      <x v="5"/>
      <x v="1"/>
      <x/>
      <x/>
      <x v="5"/>
      <x v="24"/>
    </i>
    <i r="1">
      <x v="16"/>
      <x v="5"/>
      <x v="1"/>
      <x v="1"/>
      <x/>
      <x v="5"/>
      <x v="6"/>
    </i>
    <i r="1">
      <x v="19"/>
      <x v="5"/>
      <x v="1"/>
      <x/>
      <x/>
      <x v="5"/>
      <x v="21"/>
    </i>
    <i r="1">
      <x v="20"/>
      <x v="5"/>
      <x v="1"/>
      <x/>
      <x/>
      <x v="5"/>
      <x v="23"/>
    </i>
    <i r="1">
      <x v="23"/>
      <x v="5"/>
      <x v="1"/>
      <x/>
      <x/>
      <x v="5"/>
      <x v="26"/>
    </i>
    <i r="1">
      <x v="24"/>
      <x v="5"/>
      <x v="1"/>
      <x v="1"/>
      <x/>
      <x v="5"/>
      <x v="7"/>
    </i>
    <i r="1">
      <x v="25"/>
      <x v="5"/>
      <x v="1"/>
      <x/>
      <x v="8"/>
      <x v="5"/>
      <x v="15"/>
    </i>
    <i>
      <x v="10"/>
      <x v="6"/>
      <x v="2"/>
      <x v="1"/>
      <x/>
      <x v="5"/>
      <x v="2"/>
      <x v="17"/>
    </i>
    <i r="1">
      <x v="10"/>
      <x v="2"/>
      <x v="1"/>
      <x/>
      <x v="27"/>
      <x v="2"/>
      <x v="16"/>
    </i>
    <i r="1">
      <x v="11"/>
      <x v="2"/>
      <x v="1"/>
      <x/>
      <x v="17"/>
      <x v="2"/>
      <x v="12"/>
    </i>
    <i r="1">
      <x v="13"/>
      <x v="2"/>
      <x v="1"/>
      <x v="1"/>
      <x v="4"/>
      <x v="2"/>
      <x v="5"/>
    </i>
    <i r="1">
      <x v="14"/>
      <x v="2"/>
      <x v="1"/>
      <x/>
      <x/>
      <x v="2"/>
      <x v="8"/>
    </i>
    <i r="1">
      <x v="15"/>
      <x v="2"/>
      <x v="1"/>
      <x/>
      <x/>
      <x v="2"/>
      <x v="29"/>
    </i>
    <i r="1">
      <x v="22"/>
      <x v="2"/>
      <x v="1"/>
      <x/>
      <x/>
      <x v="2"/>
      <x v="22"/>
    </i>
    <i r="1">
      <x v="26"/>
      <x v="2"/>
      <x v="1"/>
      <x/>
      <x v="8"/>
      <x v="2"/>
      <x v="13"/>
    </i>
    <i r="1">
      <x v="27"/>
      <x v="2"/>
      <x v="1"/>
      <x/>
      <x v="10"/>
      <x v="2"/>
      <x v="14"/>
    </i>
    <i r="1">
      <x v="28"/>
      <x v="2"/>
      <x v="1"/>
      <x/>
      <x v="3"/>
      <x v="2"/>
      <x v="18"/>
    </i>
    <i>
      <x v="11"/>
      <x v="6"/>
      <x v="2"/>
      <x/>
      <x/>
      <x v="10"/>
      <x v="2"/>
      <x v="17"/>
    </i>
    <i r="1">
      <x v="7"/>
      <x v="2"/>
      <x/>
      <x/>
      <x v="9"/>
      <x v="2"/>
      <x v="11"/>
    </i>
    <i r="1">
      <x v="19"/>
      <x v="2"/>
      <x/>
      <x/>
      <x v="21"/>
      <x v="2"/>
      <x v="21"/>
    </i>
    <i r="5">
      <x v="30"/>
      <x v="2"/>
      <x v="21"/>
    </i>
    <i r="1">
      <x v="22"/>
      <x v="2"/>
      <x/>
      <x/>
      <x v="23"/>
      <x v="2"/>
      <x v="22"/>
    </i>
    <i r="5">
      <x v="25"/>
      <x v="2"/>
      <x v="22"/>
    </i>
    <i>
      <x v="12"/>
      <x v="9"/>
      <x v="11"/>
      <x/>
      <x/>
      <x v="26"/>
      <x v="9"/>
      <x v="24"/>
    </i>
    <i>
      <x v="13"/>
      <x v="1"/>
      <x v="4"/>
      <x v="1"/>
      <x v="1"/>
      <x/>
      <x v="4"/>
      <x v="3"/>
    </i>
    <i r="1">
      <x v="2"/>
      <x v="4"/>
      <x v="1"/>
      <x v="1"/>
      <x/>
      <x v="4"/>
      <x v="2"/>
    </i>
    <i r="1">
      <x v="4"/>
      <x v="4"/>
      <x v="1"/>
      <x v="1"/>
      <x/>
      <x v="4"/>
      <x v="1"/>
    </i>
    <i>
      <x v="14"/>
      <x v="19"/>
      <x v="9"/>
      <x/>
      <x/>
      <x v="29"/>
      <x v="8"/>
      <x v="21"/>
    </i>
    <i>
      <x v="15"/>
      <x v="18"/>
      <x v="4"/>
      <x v="1"/>
      <x/>
      <x v="31"/>
      <x v="4"/>
      <x v="30"/>
    </i>
    <i>
      <x v="16"/>
      <x v="26"/>
      <x v="11"/>
      <x/>
      <x/>
      <x v="19"/>
      <x v="9"/>
      <x v="13"/>
    </i>
    <i r="1">
      <x v="27"/>
      <x v="11"/>
      <x/>
      <x/>
      <x v="20"/>
      <x v="9"/>
      <x v="14"/>
    </i>
    <i>
      <x v="17"/>
      <x v="19"/>
      <x v="5"/>
      <x v="1"/>
      <x/>
      <x v="25"/>
      <x v="5"/>
      <x v="21"/>
    </i>
    <i>
      <x v="18"/>
      <x v="18"/>
      <x v="11"/>
      <x/>
      <x/>
      <x v="32"/>
      <x v="9"/>
      <x v="30"/>
    </i>
    <i>
      <x v="19"/>
      <x v="18"/>
      <x v="11"/>
      <x v="1"/>
      <x/>
      <x v="31"/>
      <x v="9"/>
      <x v="30"/>
    </i>
    <i>
      <x v="20"/>
      <x v="18"/>
      <x v="9"/>
      <x/>
      <x/>
      <x v="33"/>
      <x v="8"/>
      <x v="30"/>
    </i>
    <i>
      <x v="21"/>
      <x v="18"/>
      <x v="12"/>
      <x/>
      <x/>
      <x v="32"/>
      <x v="10"/>
      <x v="30"/>
    </i>
    <i>
      <x v="22"/>
      <x v="7"/>
      <x v="8"/>
      <x v="2"/>
      <x/>
      <x v="2"/>
      <x v="7"/>
      <x v="11"/>
    </i>
    <i r="1">
      <x v="9"/>
      <x v="8"/>
      <x v="2"/>
      <x/>
      <x v="2"/>
      <x v="7"/>
      <x v="24"/>
    </i>
    <i r="1">
      <x v="10"/>
      <x v="8"/>
      <x v="2"/>
      <x/>
      <x v="4"/>
      <x v="7"/>
      <x v="16"/>
    </i>
    <i r="1">
      <x v="11"/>
      <x v="8"/>
      <x v="2"/>
      <x/>
      <x v="8"/>
      <x v="7"/>
      <x v="12"/>
    </i>
    <i r="1">
      <x v="19"/>
      <x v="8"/>
      <x v="2"/>
      <x/>
      <x v="8"/>
      <x v="7"/>
      <x v="21"/>
    </i>
    <i>
      <x v="23"/>
      <x v="9"/>
      <x v="9"/>
      <x v="2"/>
      <x/>
      <x v="1"/>
      <x v="8"/>
      <x v="24"/>
    </i>
    <i r="1">
      <x v="10"/>
      <x v="9"/>
      <x v="2"/>
      <x/>
      <x v="3"/>
      <x v="8"/>
      <x v="16"/>
    </i>
    <i r="1">
      <x v="19"/>
      <x v="9"/>
      <x v="2"/>
      <x/>
      <x v="6"/>
      <x v="8"/>
      <x v="21"/>
    </i>
    <i>
      <x v="24"/>
      <x v="9"/>
      <x v="6"/>
      <x v="2"/>
      <x/>
      <x v="1"/>
      <x v="6"/>
      <x v="24"/>
    </i>
    <i r="1">
      <x v="12"/>
      <x v="6"/>
      <x v="2"/>
      <x/>
      <x/>
      <x v="6"/>
      <x v="20"/>
    </i>
    <i>
      <x v="25"/>
      <x v="10"/>
      <x v="12"/>
      <x v="2"/>
      <x/>
      <x v="3"/>
      <x v="10"/>
      <x v="16"/>
    </i>
    <i>
      <x v="26"/>
      <x v="5"/>
      <x v="11"/>
      <x v="2"/>
      <x/>
      <x/>
      <x v="9"/>
      <x v="19"/>
    </i>
    <i r="1">
      <x v="7"/>
      <x v="11"/>
      <x v="2"/>
      <x/>
      <x v="1"/>
      <x v="9"/>
      <x v="11"/>
    </i>
    <i r="1">
      <x v="9"/>
      <x v="11"/>
      <x v="2"/>
      <x/>
      <x v="2"/>
      <x v="9"/>
      <x v="24"/>
    </i>
    <i r="1">
      <x v="10"/>
      <x v="11"/>
      <x v="2"/>
      <x/>
      <x v="3"/>
      <x v="9"/>
      <x v="16"/>
    </i>
    <i r="1">
      <x v="11"/>
      <x v="11"/>
      <x v="2"/>
      <x/>
      <x v="8"/>
      <x v="9"/>
      <x v="12"/>
    </i>
    <i r="1">
      <x v="12"/>
      <x v="11"/>
      <x v="2"/>
      <x/>
      <x/>
      <x v="9"/>
      <x v="20"/>
    </i>
    <i r="1">
      <x v="13"/>
      <x v="11"/>
      <x v="2"/>
      <x v="1"/>
      <x v="1"/>
      <x v="9"/>
      <x v="5"/>
    </i>
    <i r="1">
      <x v="19"/>
      <x v="11"/>
      <x v="2"/>
      <x/>
      <x v="6"/>
      <x v="9"/>
      <x v="21"/>
    </i>
    <i>
      <x v="27"/>
      <x v="18"/>
      <x v="13"/>
      <x/>
      <x/>
      <x v="34"/>
      <x v="11"/>
      <x v="30"/>
    </i>
    <i>
      <x v="28"/>
      <x v="13"/>
      <x v="13"/>
      <x v="2"/>
      <x v="1"/>
      <x v="1"/>
      <x v="11"/>
      <x v="5"/>
    </i>
    <i r="1">
      <x v="28"/>
      <x v="13"/>
      <x v="2"/>
      <x/>
      <x v="1"/>
      <x v="11"/>
      <x v="18"/>
    </i>
    <i>
      <x v="29"/>
      <x v="9"/>
      <x v="12"/>
      <x v="2"/>
      <x/>
      <x v="1"/>
      <x v="10"/>
      <x v="24"/>
    </i>
    <i r="1">
      <x v="19"/>
      <x v="12"/>
      <x v="2"/>
      <x/>
      <x v="4"/>
      <x v="10"/>
      <x v="21"/>
    </i>
    <i>
      <x v="30"/>
      <x v="11"/>
      <x v="10"/>
      <x v="2"/>
      <x/>
      <x v="6"/>
      <x v="8"/>
      <x v="12"/>
    </i>
    <i r="1">
      <x v="12"/>
      <x v="10"/>
      <x v="2"/>
      <x/>
      <x/>
      <x v="8"/>
      <x v="20"/>
    </i>
    <i>
      <x v="31"/>
      <x v="9"/>
      <x v="10"/>
      <x v="2"/>
      <x/>
      <x v="1"/>
      <x v="8"/>
      <x v="24"/>
    </i>
    <i>
      <x v="32"/>
      <x v="12"/>
      <x v="9"/>
      <x v="2"/>
      <x/>
      <x/>
      <x v="8"/>
      <x v="20"/>
    </i>
    <i>
      <x v="33"/>
      <x v="7"/>
      <x v="13"/>
      <x v="2"/>
      <x/>
      <x v="1"/>
      <x v="11"/>
      <x v="11"/>
    </i>
    <i r="1">
      <x v="19"/>
      <x v="13"/>
      <x v="2"/>
      <x/>
      <x v="5"/>
      <x v="11"/>
      <x v="21"/>
    </i>
    <i>
      <x v="34"/>
      <x v="18"/>
      <x v="15"/>
      <x/>
      <x/>
      <x v="31"/>
      <x v="12"/>
      <x v="30"/>
    </i>
    <i>
      <x v="35"/>
      <x v="18"/>
      <x v="13"/>
      <x v="1"/>
      <x/>
      <x v="31"/>
      <x v="11"/>
      <x v="30"/>
    </i>
    <i>
      <x v="36"/>
      <x v="6"/>
      <x v="12"/>
      <x v="3"/>
      <x/>
      <x v="1"/>
      <x v="10"/>
      <x v="17"/>
    </i>
    <i r="1">
      <x v="9"/>
      <x v="12"/>
      <x v="3"/>
      <x/>
      <x v="1"/>
      <x v="10"/>
      <x v="24"/>
    </i>
    <i r="1">
      <x v="11"/>
      <x v="12"/>
      <x v="3"/>
      <x/>
      <x v="2"/>
      <x v="10"/>
      <x v="12"/>
    </i>
    <i r="1">
      <x v="17"/>
      <x v="12"/>
      <x v="3"/>
      <x/>
      <x v="1"/>
      <x v="10"/>
      <x/>
    </i>
    <i>
      <x v="37"/>
      <x v="6"/>
      <x v="13"/>
      <x v="3"/>
      <x/>
      <x v="1"/>
      <x v="11"/>
      <x v="17"/>
    </i>
    <i r="1">
      <x v="8"/>
      <x v="13"/>
      <x v="3"/>
      <x/>
      <x v="1"/>
      <x v="11"/>
      <x v="25"/>
    </i>
    <i r="1">
      <x v="11"/>
      <x v="13"/>
      <x v="3"/>
      <x/>
      <x v="2"/>
      <x v="11"/>
      <x v="12"/>
    </i>
    <i r="1">
      <x v="12"/>
      <x v="13"/>
      <x v="3"/>
      <x/>
      <x/>
      <x v="11"/>
      <x v="20"/>
    </i>
    <i r="1">
      <x v="28"/>
      <x v="13"/>
      <x v="3"/>
      <x/>
      <x/>
      <x v="11"/>
      <x v="18"/>
    </i>
    <i>
      <x v="38"/>
      <x v="6"/>
      <x v="9"/>
      <x v="3"/>
      <x/>
      <x v="1"/>
      <x v="8"/>
      <x v="17"/>
    </i>
    <i r="1">
      <x v="11"/>
      <x v="9"/>
      <x v="3"/>
      <x/>
      <x v="2"/>
      <x v="8"/>
      <x v="12"/>
    </i>
    <i r="1">
      <x v="12"/>
      <x v="9"/>
      <x v="3"/>
      <x/>
      <x/>
      <x v="8"/>
      <x v="20"/>
    </i>
    <i r="1">
      <x v="17"/>
      <x v="9"/>
      <x v="3"/>
      <x/>
      <x v="1"/>
      <x v="8"/>
      <x/>
    </i>
    <i>
      <x v="39"/>
      <x v="6"/>
      <x v="11"/>
      <x v="3"/>
      <x/>
      <x v="2"/>
      <x v="9"/>
      <x v="17"/>
    </i>
    <i r="1">
      <x v="11"/>
      <x v="11"/>
      <x v="3"/>
      <x/>
      <x v="2"/>
      <x v="9"/>
      <x v="12"/>
    </i>
    <i r="1">
      <x v="17"/>
      <x v="11"/>
      <x v="3"/>
      <x/>
      <x/>
      <x v="9"/>
      <x/>
    </i>
    <i>
      <x v="40"/>
      <x v="30"/>
      <x v="11"/>
      <x v="1"/>
      <x/>
      <x v="22"/>
      <x v="9"/>
      <x v="9"/>
    </i>
    <i>
      <x v="41"/>
      <x v="30"/>
      <x v="16"/>
      <x v="1"/>
      <x/>
      <x v="2"/>
      <x v="13"/>
      <x v="9"/>
    </i>
    <i>
      <x v="42"/>
      <x v="30"/>
      <x v="12"/>
      <x v="1"/>
      <x/>
      <x v="16"/>
      <x v="10"/>
      <x v="9"/>
    </i>
    <i>
      <x v="43"/>
      <x v="24"/>
      <x v="15"/>
      <x v="1"/>
      <x v="1"/>
      <x v="3"/>
      <x v="12"/>
      <x v="7"/>
    </i>
    <i>
      <x v="44"/>
      <x v="11"/>
      <x v="15"/>
      <x v="3"/>
      <x/>
      <x v="2"/>
      <x v="12"/>
      <x v="12"/>
    </i>
    <i r="1">
      <x v="28"/>
      <x v="15"/>
      <x v="3"/>
      <x/>
      <x/>
      <x v="12"/>
      <x v="18"/>
    </i>
    <i>
      <x v="45"/>
      <x v="11"/>
      <x v="12"/>
      <x/>
      <x/>
      <x v="13"/>
      <x v="10"/>
      <x v="12"/>
    </i>
    <i>
      <x v="46"/>
      <x v="11"/>
      <x v="13"/>
      <x/>
      <x/>
      <x v="11"/>
      <x v="11"/>
      <x v="12"/>
    </i>
    <i>
      <x v="47"/>
      <x v="19"/>
      <x v="15"/>
      <x v="2"/>
      <x/>
      <x v="6"/>
      <x v="12"/>
      <x v="21"/>
    </i>
    <i>
      <x v="48"/>
      <x v="9"/>
      <x v="15"/>
      <x v="1"/>
      <x/>
      <x v="2"/>
      <x v="12"/>
      <x v="24"/>
    </i>
    <i r="1">
      <x v="10"/>
      <x v="15"/>
      <x v="1"/>
      <x/>
      <x v="15"/>
      <x v="12"/>
      <x v="16"/>
    </i>
    <i r="1">
      <x v="16"/>
      <x v="15"/>
      <x v="1"/>
      <x v="1"/>
      <x v="1"/>
      <x v="12"/>
      <x v="6"/>
    </i>
    <i r="1">
      <x v="22"/>
      <x v="15"/>
      <x v="1"/>
      <x/>
      <x v="2"/>
      <x v="12"/>
      <x v="22"/>
    </i>
    <i>
      <x v="49"/>
      <x v="6"/>
      <x v="15"/>
      <x/>
      <x/>
      <x v="4"/>
      <x v="12"/>
      <x v="17"/>
    </i>
    <i r="1">
      <x v="10"/>
      <x v="15"/>
      <x/>
      <x/>
      <x v="12"/>
      <x v="12"/>
      <x v="16"/>
    </i>
    <i r="1">
      <x v="11"/>
      <x v="15"/>
      <x/>
      <x/>
      <x v="10"/>
      <x v="12"/>
      <x v="12"/>
    </i>
    <i>
      <x v="50"/>
      <x v="9"/>
      <x v="12"/>
      <x v="1"/>
      <x/>
      <x v="3"/>
      <x v="10"/>
      <x v="24"/>
    </i>
    <i r="1">
      <x v="16"/>
      <x v="12"/>
      <x v="1"/>
      <x v="1"/>
      <x v="1"/>
      <x v="10"/>
      <x v="6"/>
    </i>
    <i>
      <x v="51"/>
      <x v="22"/>
      <x v="11"/>
      <x v="1"/>
      <x/>
      <x v="4"/>
      <x v="9"/>
      <x v="22"/>
    </i>
    <i>
      <x v="52"/>
      <x v="18"/>
      <x v="17"/>
      <x/>
      <x/>
      <x v="31"/>
      <x v="14"/>
      <x v="30"/>
    </i>
    <i>
      <x v="53"/>
      <x v="24"/>
      <x v="16"/>
      <x v="1"/>
      <x v="1"/>
      <x v="9"/>
      <x v="13"/>
      <x v="7"/>
    </i>
    <i>
      <x v="54"/>
      <x v="24"/>
      <x v="12"/>
      <x v="1"/>
      <x v="1"/>
      <x v="5"/>
      <x v="10"/>
      <x v="7"/>
    </i>
    <i>
      <x v="55"/>
      <x/>
      <x v="15"/>
      <x v="1"/>
      <x/>
      <x v="6"/>
      <x v="12"/>
      <x v="28"/>
    </i>
    <i r="1">
      <x v="6"/>
      <x v="15"/>
      <x v="1"/>
      <x/>
      <x v="19"/>
      <x v="12"/>
      <x v="17"/>
    </i>
    <i r="1">
      <x v="20"/>
      <x v="15"/>
      <x v="1"/>
      <x/>
      <x v="6"/>
      <x v="12"/>
      <x v="23"/>
    </i>
    <i r="1">
      <x v="21"/>
      <x v="15"/>
      <x v="1"/>
      <x/>
      <x v="2"/>
      <x v="12"/>
      <x v="27"/>
    </i>
    <i r="1">
      <x v="28"/>
      <x v="15"/>
      <x v="1"/>
      <x/>
      <x v="8"/>
      <x v="12"/>
      <x v="18"/>
    </i>
    <i>
      <x v="56"/>
      <x v="8"/>
      <x v="16"/>
      <x v="1"/>
      <x/>
      <x v="6"/>
      <x v="13"/>
      <x v="25"/>
    </i>
    <i r="1">
      <x v="9"/>
      <x v="16"/>
      <x v="1"/>
      <x/>
      <x v="6"/>
      <x v="13"/>
      <x v="24"/>
    </i>
    <i r="1">
      <x v="10"/>
      <x v="16"/>
      <x v="1"/>
      <x/>
      <x v="23"/>
      <x v="13"/>
      <x v="16"/>
    </i>
    <i r="1">
      <x v="11"/>
      <x v="16"/>
      <x v="1"/>
      <x/>
      <x v="25"/>
      <x v="13"/>
      <x v="12"/>
    </i>
    <i r="1">
      <x v="16"/>
      <x v="16"/>
      <x v="1"/>
      <x v="1"/>
      <x v="6"/>
      <x v="13"/>
      <x v="6"/>
    </i>
    <i>
      <x v="57"/>
      <x/>
      <x v="12"/>
      <x v="1"/>
      <x/>
      <x v="4"/>
      <x v="10"/>
      <x v="28"/>
    </i>
    <i r="1">
      <x v="20"/>
      <x v="12"/>
      <x v="1"/>
      <x/>
      <x v="5"/>
      <x v="10"/>
      <x v="23"/>
    </i>
    <i>
      <x v="58"/>
      <x v="8"/>
      <x v="13"/>
      <x v="1"/>
      <x/>
      <x v="6"/>
      <x v="11"/>
      <x v="25"/>
    </i>
    <i r="1">
      <x v="16"/>
      <x v="13"/>
      <x v="1"/>
      <x v="1"/>
      <x v="6"/>
      <x v="11"/>
      <x v="6"/>
    </i>
    <i r="1">
      <x v="22"/>
      <x v="13"/>
      <x v="1"/>
      <x/>
      <x v="6"/>
      <x v="11"/>
      <x v="22"/>
    </i>
    <i>
      <x v="59"/>
      <x v="24"/>
      <x v="15"/>
      <x v="3"/>
      <x v="1"/>
      <x v="2"/>
      <x v="12"/>
      <x v="7"/>
    </i>
    <i>
      <x v="60"/>
      <x v="24"/>
      <x v="12"/>
      <x v="3"/>
      <x v="1"/>
      <x v="1"/>
      <x v="10"/>
      <x v="7"/>
    </i>
    <i>
      <x v="61"/>
      <x v="18"/>
      <x v="15"/>
      <x v="1"/>
      <x/>
      <x v="31"/>
      <x v="12"/>
      <x v="30"/>
    </i>
    <i>
      <x v="62"/>
      <x v="9"/>
      <x v="16"/>
      <x v="2"/>
      <x/>
      <x v="4"/>
      <x v="13"/>
      <x v="24"/>
    </i>
    <i r="1">
      <x v="10"/>
      <x v="16"/>
      <x v="2"/>
      <x/>
      <x v="5"/>
      <x v="13"/>
      <x v="16"/>
    </i>
    <i r="1">
      <x v="11"/>
      <x v="16"/>
      <x v="2"/>
      <x/>
      <x v="4"/>
      <x v="13"/>
      <x v="12"/>
    </i>
    <i r="1">
      <x v="19"/>
      <x v="16"/>
      <x v="2"/>
      <x/>
      <x v="7"/>
      <x v="13"/>
      <x v="21"/>
    </i>
    <i r="1">
      <x v="20"/>
      <x v="16"/>
      <x v="2"/>
      <x/>
      <x v="3"/>
      <x v="13"/>
      <x v="23"/>
    </i>
    <i r="1">
      <x v="28"/>
      <x v="16"/>
      <x v="2"/>
      <x/>
      <x v="1"/>
      <x v="13"/>
      <x v="18"/>
    </i>
    <i>
      <x v="63"/>
      <x v="9"/>
      <x v="15"/>
      <x v="2"/>
      <x/>
      <x v="4"/>
      <x v="12"/>
      <x v="24"/>
    </i>
    <i r="1">
      <x v="10"/>
      <x v="15"/>
      <x v="2"/>
      <x/>
      <x v="5"/>
      <x v="12"/>
      <x v="16"/>
    </i>
    <i r="1">
      <x v="19"/>
      <x v="15"/>
      <x v="2"/>
      <x/>
      <x v="5"/>
      <x v="12"/>
      <x v="21"/>
    </i>
    <i>
      <x v="64"/>
      <x v="10"/>
      <x v="17"/>
      <x v="2"/>
      <x/>
      <x v="5"/>
      <x v="14"/>
      <x v="16"/>
    </i>
    <i r="1">
      <x v="28"/>
      <x v="17"/>
      <x v="2"/>
      <x/>
      <x v="1"/>
      <x v="14"/>
      <x v="18"/>
    </i>
    <i>
      <x v="65"/>
      <x v="9"/>
      <x v="13"/>
      <x v="2"/>
      <x/>
      <x v="2"/>
      <x v="11"/>
      <x v="24"/>
    </i>
    <i r="1">
      <x v="10"/>
      <x v="13"/>
      <x v="2"/>
      <x/>
      <x v="6"/>
      <x v="11"/>
      <x v="16"/>
    </i>
    <i>
      <x v="66"/>
      <x v="10"/>
      <x v="15"/>
      <x v="3"/>
      <x/>
      <x v="4"/>
      <x v="12"/>
      <x v="16"/>
    </i>
    <i r="1">
      <x v="16"/>
      <x v="15"/>
      <x v="3"/>
      <x v="1"/>
      <x v="1"/>
      <x v="12"/>
      <x v="6"/>
    </i>
    <i r="1">
      <x v="20"/>
      <x v="15"/>
      <x v="3"/>
      <x/>
      <x v="2"/>
      <x v="12"/>
      <x v="23"/>
    </i>
    <i r="1">
      <x v="21"/>
      <x v="15"/>
      <x v="3"/>
      <x/>
      <x v="1"/>
      <x v="12"/>
      <x v="27"/>
    </i>
    <i r="1">
      <x v="22"/>
      <x v="15"/>
      <x v="3"/>
      <x/>
      <x v="2"/>
      <x v="12"/>
      <x v="22"/>
    </i>
    <i>
      <x v="67"/>
      <x/>
      <x v="16"/>
      <x v="3"/>
      <x/>
      <x v="1"/>
      <x v="13"/>
      <x v="28"/>
    </i>
    <i r="1">
      <x v="6"/>
      <x v="16"/>
      <x v="3"/>
      <x/>
      <x v="1"/>
      <x v="13"/>
      <x v="17"/>
    </i>
    <i r="1">
      <x v="10"/>
      <x v="16"/>
      <x v="3"/>
      <x/>
      <x v="4"/>
      <x v="13"/>
      <x v="16"/>
    </i>
    <i r="1">
      <x v="11"/>
      <x v="16"/>
      <x v="3"/>
      <x/>
      <x v="2"/>
      <x v="13"/>
      <x v="12"/>
    </i>
    <i r="1">
      <x v="19"/>
      <x v="16"/>
      <x v="3"/>
      <x/>
      <x v="1"/>
      <x v="13"/>
      <x v="21"/>
    </i>
    <i r="1">
      <x v="23"/>
      <x v="16"/>
      <x v="3"/>
      <x/>
      <x v="1"/>
      <x v="13"/>
      <x v="26"/>
    </i>
    <i r="1">
      <x v="28"/>
      <x v="16"/>
      <x v="3"/>
      <x/>
      <x v="1"/>
      <x v="13"/>
      <x v="18"/>
    </i>
    <i>
      <x v="68"/>
      <x v="10"/>
      <x v="13"/>
      <x v="3"/>
      <x/>
      <x v="2"/>
      <x v="11"/>
      <x v="16"/>
    </i>
    <i r="1">
      <x v="16"/>
      <x v="13"/>
      <x v="3"/>
      <x v="1"/>
      <x v="1"/>
      <x v="11"/>
      <x v="6"/>
    </i>
    <i r="1">
      <x v="19"/>
      <x v="13"/>
      <x v="3"/>
      <x/>
      <x v="1"/>
      <x v="11"/>
      <x v="21"/>
    </i>
    <i>
      <x v="69"/>
      <x v="18"/>
      <x v="16"/>
      <x/>
      <x/>
      <x v="31"/>
      <x v="13"/>
      <x v="30"/>
    </i>
    <i r="1">
      <x v="29"/>
      <x v="16"/>
      <x/>
      <x/>
      <x v="9"/>
      <x v="13"/>
      <x v="10"/>
    </i>
    <i>
      <x v="70"/>
      <x v="6"/>
      <x v="16"/>
      <x/>
      <x/>
      <x v="7"/>
      <x v="13"/>
      <x v="17"/>
    </i>
    <i r="1">
      <x v="10"/>
      <x v="16"/>
      <x/>
      <x/>
      <x v="19"/>
      <x v="13"/>
      <x v="16"/>
    </i>
    <i r="1">
      <x v="11"/>
      <x v="16"/>
      <x/>
      <x/>
      <x v="5"/>
      <x v="13"/>
      <x v="12"/>
    </i>
    <i>
      <x v="71"/>
      <x v="13"/>
      <x v="17"/>
      <x/>
      <x v="1"/>
      <x v="20"/>
      <x v="14"/>
      <x v="5"/>
    </i>
    <i>
      <x v="72"/>
      <x v="6"/>
      <x v="15"/>
      <x/>
      <x/>
      <x v="2"/>
      <x v="12"/>
      <x v="17"/>
    </i>
    <i r="1">
      <x v="19"/>
      <x v="15"/>
      <x/>
      <x/>
      <x v="24"/>
      <x v="12"/>
      <x v="21"/>
    </i>
    <i>
      <x v="73"/>
      <x v="9"/>
      <x v="13"/>
      <x/>
      <x/>
      <x v="28"/>
      <x v="11"/>
      <x v="24"/>
    </i>
    <i>
      <x v="74"/>
      <x v="4"/>
      <x v="13"/>
      <x v="1"/>
      <x v="1"/>
      <x v="2"/>
      <x v="11"/>
      <x v="1"/>
    </i>
    <i>
      <x v="75"/>
      <x v="3"/>
      <x v="16"/>
      <x v="1"/>
      <x v="1"/>
      <x v="2"/>
      <x v="13"/>
      <x v="4"/>
    </i>
    <i r="1">
      <x v="4"/>
      <x v="16"/>
      <x v="1"/>
      <x v="1"/>
      <x v="2"/>
      <x v="13"/>
      <x v="1"/>
    </i>
    <i t="grand">
      <x/>
    </i>
  </rowItems>
  <colItems count="1">
    <i/>
  </colItems>
  <pageFields count="1">
    <pageField fld="18" hier="-1"/>
  </pageFields>
  <formats count="51">
    <format dxfId="50">
      <pivotArea field="1" type="button" dataOnly="0" labelOnly="1" outline="0" axis="axisRow" fieldPosition="0"/>
    </format>
    <format dxfId="49">
      <pivotArea field="4" type="button" dataOnly="0" labelOnly="1" outline="0" axis="axisRow" fieldPosition="1"/>
    </format>
    <format dxfId="48">
      <pivotArea field="0" type="button" dataOnly="0" labelOnly="1" outline="0" axis="axisRow" fieldPosition="2"/>
    </format>
    <format dxfId="47">
      <pivotArea field="7" type="button" dataOnly="0" labelOnly="1" outline="0" axis="axisRow" fieldPosition="3"/>
    </format>
    <format dxfId="46">
      <pivotArea field="5" type="button" dataOnly="0" labelOnly="1" outline="0" axis="axisRow" fieldPosition="4"/>
    </format>
    <format dxfId="45">
      <pivotArea field="6" type="button" dataOnly="0" labelOnly="1" outline="0" axis="axisRow" fieldPosition="5"/>
    </format>
    <format dxfId="44">
      <pivotArea field="1" type="button" dataOnly="0" labelOnly="1" outline="0" axis="axisRow" fieldPosition="0"/>
    </format>
    <format dxfId="43">
      <pivotArea field="4" type="button" dataOnly="0" labelOnly="1" outline="0" axis="axisRow" fieldPosition="1"/>
    </format>
    <format dxfId="42">
      <pivotArea field="0" type="button" dataOnly="0" labelOnly="1" outline="0" axis="axisRow" fieldPosition="2"/>
    </format>
    <format dxfId="41">
      <pivotArea field="7" type="button" dataOnly="0" labelOnly="1" outline="0" axis="axisRow" fieldPosition="3"/>
    </format>
    <format dxfId="40">
      <pivotArea field="5" type="button" dataOnly="0" labelOnly="1" outline="0" axis="axisRow" fieldPosition="4"/>
    </format>
    <format dxfId="39">
      <pivotArea field="6" type="button" dataOnly="0" labelOnly="1" outline="0" axis="axisRow" fieldPosition="5"/>
    </format>
    <format dxfId="38">
      <pivotArea field="0" type="button" dataOnly="0" labelOnly="1" outline="0" axis="axisRow" fieldPosition="2"/>
    </format>
    <format dxfId="37">
      <pivotArea field="10" type="button" dataOnly="0" labelOnly="1" outline="0" axis="axisRow" fieldPosition="6"/>
    </format>
    <format dxfId="36">
      <pivotArea dataOnly="0" labelOnly="1" outline="0" fieldPosition="0">
        <references count="2">
          <reference field="1" count="1" selected="0">
            <x v="10"/>
          </reference>
          <reference field="4" count="1">
            <x v="13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26"/>
          </reference>
          <reference field="4" count="1">
            <x v="13"/>
          </reference>
        </references>
      </pivotArea>
    </format>
    <format dxfId="34">
      <pivotArea field="2" type="button" dataOnly="0" labelOnly="1" outline="0" axis="axisRow" fieldPosition="7"/>
    </format>
    <format dxfId="33">
      <pivotArea dataOnly="0" labelOnly="1" outline="0" fieldPosition="0">
        <references count="1">
          <reference field="1" count="2">
            <x v="38"/>
            <x v="39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38"/>
          </reference>
          <reference field="4" count="4">
            <x v="6"/>
            <x v="11"/>
            <x v="12"/>
            <x v="17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39"/>
          </reference>
          <reference field="4" count="3">
            <x v="6"/>
            <x v="11"/>
            <x v="17"/>
          </reference>
        </references>
      </pivotArea>
    </format>
    <format dxfId="30">
      <pivotArea dataOnly="0" labelOnly="1" outline="0" fieldPosition="0">
        <references count="3">
          <reference field="0" count="1">
            <x v="9"/>
          </reference>
          <reference field="1" count="1" selected="0">
            <x v="38"/>
          </reference>
          <reference field="4" count="1" selected="0">
            <x v="6"/>
          </reference>
        </references>
      </pivotArea>
    </format>
    <format dxfId="29">
      <pivotArea dataOnly="0" labelOnly="1" outline="0" offset="IV1:IV3" fieldPosition="0">
        <references count="3">
          <reference field="0" count="1">
            <x v="11"/>
          </reference>
          <reference field="1" count="1" selected="0">
            <x v="39"/>
          </reference>
          <reference field="4" count="1" selected="0">
            <x v="6"/>
          </reference>
        </references>
      </pivotArea>
    </format>
    <format dxfId="28">
      <pivotArea dataOnly="0" labelOnly="1" outline="0" offset="IV10:IV256" fieldPosition="0">
        <references count="4">
          <reference field="0" count="1" selected="0">
            <x v="12"/>
          </reference>
          <reference field="1" count="1" selected="0">
            <x v="36"/>
          </reference>
          <reference field="4" count="1" selected="0">
            <x v="6"/>
          </reference>
          <reference field="7" count="1">
            <x v="3"/>
          </reference>
        </references>
      </pivotArea>
    </format>
    <format dxfId="27">
      <pivotArea dataOnly="0" labelOnly="1" outline="0" offset="IV21:IV27" fieldPosition="0">
        <references count="5">
          <reference field="0" count="1" selected="0">
            <x v="13"/>
          </reference>
          <reference field="1" count="1" selected="0">
            <x v="28"/>
          </reference>
          <reference field="4" count="1" selected="0">
            <x v="28"/>
          </reference>
          <reference field="5" count="1">
            <x v="0"/>
          </reference>
          <reference field="7" count="1" selected="0">
            <x v="2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8"/>
          </reference>
          <reference field="4" count="1" selected="0">
            <x v="6"/>
          </reference>
          <reference field="5" count="1" selected="0">
            <x v="0"/>
          </reference>
          <reference field="6" count="1">
            <x v="1"/>
          </reference>
          <reference field="7" count="1" selected="0">
            <x v="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8"/>
          </reference>
          <reference field="4" count="1" selected="0">
            <x v="11"/>
          </reference>
          <reference field="5" count="1" selected="0">
            <x v="0"/>
          </reference>
          <reference field="6" count="1">
            <x v="2"/>
          </reference>
          <reference field="7" count="1" selected="0">
            <x v="3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8"/>
          </reference>
          <reference field="4" count="1" selected="0">
            <x v="12"/>
          </reference>
          <reference field="5" count="1" selected="0">
            <x v="0"/>
          </reference>
          <reference field="6" count="1">
            <x v="0"/>
          </reference>
          <reference field="7" count="1" selected="0">
            <x v="3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8"/>
          </reference>
          <reference field="4" count="1" selected="0">
            <x v="17"/>
          </reference>
          <reference field="5" count="1" selected="0">
            <x v="0"/>
          </reference>
          <reference field="6" count="1">
            <x v="1"/>
          </reference>
          <reference field="7" count="1" selected="0">
            <x v="3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39"/>
          </reference>
          <reference field="4" count="1" selected="0">
            <x v="6"/>
          </reference>
          <reference field="5" count="1" selected="0">
            <x v="0"/>
          </reference>
          <reference field="6" count="1">
            <x v="2"/>
          </reference>
          <reference field="7" count="1" selected="0">
            <x v="3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39"/>
          </reference>
          <reference field="4" count="1" selected="0">
            <x v="17"/>
          </reference>
          <reference field="5" count="1" selected="0">
            <x v="0"/>
          </reference>
          <reference field="6" count="1">
            <x v="0"/>
          </reference>
          <reference field="7" count="1" selected="0">
            <x v="3"/>
          </reference>
        </references>
      </pivotArea>
    </format>
    <format dxfId="20">
      <pivotArea dataOnly="0" labelOnly="1" outline="0" fieldPosition="0">
        <references count="7">
          <reference field="0" count="1" selected="0">
            <x v="9"/>
          </reference>
          <reference field="1" count="1" selected="0">
            <x v="38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"/>
          </reference>
          <reference field="10" count="1">
            <x v="8"/>
          </reference>
        </references>
      </pivotArea>
    </format>
    <format dxfId="19">
      <pivotArea dataOnly="0" labelOnly="1" outline="0" offset="IV1:IV3" fieldPosition="0">
        <references count="7">
          <reference field="0" count="1" selected="0">
            <x v="11"/>
          </reference>
          <reference field="1" count="1" selected="0">
            <x v="39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2"/>
          </reference>
          <reference field="7" count="1" selected="0">
            <x v="3"/>
          </reference>
          <reference field="10" count="1">
            <x v="9"/>
          </reference>
        </references>
      </pivotArea>
    </format>
    <format dxfId="18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8"/>
          </reference>
          <reference field="2" count="1">
            <x v="17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"/>
          </reference>
          <reference field="10" count="1" selected="0">
            <x v="8"/>
          </reference>
        </references>
      </pivotArea>
    </format>
    <format dxfId="17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8"/>
          </reference>
          <reference field="2" count="1">
            <x v="12"/>
          </reference>
          <reference field="4" count="1" selected="0">
            <x v="11"/>
          </reference>
          <reference field="5" count="1" selected="0">
            <x v="0"/>
          </reference>
          <reference field="6" count="1" selected="0">
            <x v="2"/>
          </reference>
          <reference field="7" count="1" selected="0">
            <x v="3"/>
          </reference>
          <reference field="10" count="1" selected="0">
            <x v="8"/>
          </reference>
        </references>
      </pivotArea>
    </format>
    <format dxfId="16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8"/>
          </reference>
          <reference field="2" count="1">
            <x v="20"/>
          </reference>
          <reference field="4" count="1" selected="0">
            <x v="12"/>
          </reference>
          <reference field="5" count="1" selected="0">
            <x v="0"/>
          </reference>
          <reference field="6" count="1" selected="0">
            <x v="0"/>
          </reference>
          <reference field="7" count="1" selected="0">
            <x v="3"/>
          </reference>
          <reference field="10" count="1" selected="0">
            <x v="8"/>
          </reference>
        </references>
      </pivotArea>
    </format>
    <format dxfId="15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38"/>
          </reference>
          <reference field="2" count="1">
            <x v="0"/>
          </reference>
          <reference field="4" count="1" selected="0">
            <x v="17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"/>
          </reference>
          <reference field="10" count="1" selected="0">
            <x v="8"/>
          </reference>
        </references>
      </pivotArea>
    </format>
    <format dxfId="14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39"/>
          </reference>
          <reference field="2" count="1">
            <x v="17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2"/>
          </reference>
          <reference field="7" count="1" selected="0">
            <x v="3"/>
          </reference>
          <reference field="10" count="1" selected="0">
            <x v="9"/>
          </reference>
        </references>
      </pivotArea>
    </format>
    <format dxfId="13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39"/>
          </reference>
          <reference field="2" count="1">
            <x v="12"/>
          </reference>
          <reference field="4" count="1" selected="0">
            <x v="11"/>
          </reference>
          <reference field="5" count="1" selected="0">
            <x v="0"/>
          </reference>
          <reference field="6" count="1" selected="0">
            <x v="2"/>
          </reference>
          <reference field="7" count="1" selected="0">
            <x v="3"/>
          </reference>
          <reference field="10" count="1" selected="0">
            <x v="9"/>
          </reference>
        </references>
      </pivotArea>
    </format>
    <format dxfId="12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39"/>
          </reference>
          <reference field="2" count="1">
            <x v="0"/>
          </reference>
          <reference field="4" count="1" selected="0">
            <x v="17"/>
          </reference>
          <reference field="5" count="1" selected="0">
            <x v="0"/>
          </reference>
          <reference field="6" count="1" selected="0">
            <x v="0"/>
          </reference>
          <reference field="7" count="1" selected="0">
            <x v="3"/>
          </reference>
          <reference field="10" count="1" selected="0">
            <x v="9"/>
          </reference>
        </references>
      </pivotArea>
    </format>
    <format dxfId="11">
      <pivotArea dataOnly="0" labelOnly="1" outline="0" fieldPosition="0">
        <references count="1">
          <reference field="1" count="1">
            <x v="1"/>
          </reference>
        </references>
      </pivotArea>
    </format>
    <format dxfId="10">
      <pivotArea dataOnly="0" labelOnly="1" outline="0" fieldPosition="0">
        <references count="2">
          <reference field="1" count="1" selected="0">
            <x v="1"/>
          </reference>
          <reference field="4" count="3">
            <x v="6"/>
            <x v="7"/>
            <x v="10"/>
          </reference>
        </references>
      </pivotArea>
    </format>
    <format dxfId="9">
      <pivotArea dataOnly="0" labelOnly="1" outline="0" fieldPosition="0">
        <references count="3">
          <reference field="0" count="1">
            <x v="7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  <format dxfId="8">
      <pivotArea dataOnly="0" labelOnly="1" outline="0" offset="IV1:IV3" fieldPosition="0">
        <references count="4">
          <reference field="0" count="1" selected="0">
            <x v="7"/>
          </reference>
          <reference field="1" count="1" selected="0">
            <x v="1"/>
          </reference>
          <reference field="4" count="1" selected="0">
            <x v="6"/>
          </reference>
          <reference field="7" count="1">
            <x v="0"/>
          </reference>
        </references>
      </pivotArea>
    </format>
    <format dxfId="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"/>
          </reference>
          <reference field="4" count="1" selected="0">
            <x v="6"/>
          </reference>
          <reference field="5" count="1">
            <x v="0"/>
          </reference>
          <reference field="7" count="1" selected="0">
            <x v="0"/>
          </reference>
        </references>
      </pivotArea>
    </format>
    <format dxfId="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6" count="1">
            <x v="10"/>
          </reference>
          <reference field="7" count="1" selected="0">
            <x v="0"/>
          </reference>
        </references>
      </pivotArea>
    </format>
    <format dxfId="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"/>
          </reference>
          <reference field="4" count="1" selected="0">
            <x v="7"/>
          </reference>
          <reference field="5" count="1" selected="0">
            <x v="0"/>
          </reference>
          <reference field="6" count="1">
            <x v="4"/>
          </reference>
          <reference field="7" count="1" selected="0">
            <x v="0"/>
          </reference>
        </references>
      </pivotArea>
    </format>
    <format dxfId="4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1"/>
          </reference>
          <reference field="4" count="1" selected="0">
            <x v="10"/>
          </reference>
          <reference field="5" count="1" selected="0">
            <x v="0"/>
          </reference>
          <reference field="6" count="1">
            <x v="19"/>
          </reference>
          <reference field="7" count="1" selected="0">
            <x v="0"/>
          </reference>
        </references>
      </pivotArea>
    </format>
    <format dxfId="3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1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10"/>
          </reference>
          <reference field="7" count="1" selected="0">
            <x v="0"/>
          </reference>
          <reference field="10" count="1">
            <x v="6"/>
          </reference>
        </references>
      </pivotArea>
    </format>
    <format dxfId="2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1"/>
          </reference>
          <reference field="2" count="1">
            <x v="17"/>
          </reference>
          <reference field="4" count="1" selected="0">
            <x v="6"/>
          </reference>
          <reference field="5" count="1" selected="0">
            <x v="0"/>
          </reference>
          <reference field="6" count="1" selected="0">
            <x v="10"/>
          </reference>
          <reference field="7" count="1" selected="0">
            <x v="0"/>
          </reference>
          <reference field="10" count="1" selected="0">
            <x v="6"/>
          </reference>
        </references>
      </pivotArea>
    </format>
    <format dxfId="1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1"/>
          </reference>
          <reference field="2" count="1">
            <x v="11"/>
          </reference>
          <reference field="4" count="1" selected="0">
            <x v="7"/>
          </reference>
          <reference field="5" count="1" selected="0">
            <x v="0"/>
          </reference>
          <reference field="6" count="1" selected="0">
            <x v="4"/>
          </reference>
          <reference field="7" count="1" selected="0">
            <x v="0"/>
          </reference>
          <reference field="10" count="1" selected="0">
            <x v="6"/>
          </reference>
        </references>
      </pivotArea>
    </format>
    <format dxfId="0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1"/>
          </reference>
          <reference field="2" count="1">
            <x v="16"/>
          </reference>
          <reference field="4" count="1" selected="0">
            <x v="10"/>
          </reference>
          <reference field="5" count="1" selected="0">
            <x v="0"/>
          </reference>
          <reference field="6" count="1" selected="0">
            <x v="19"/>
          </reference>
          <reference field="7" count="1" selected="0">
            <x v="0"/>
          </reference>
          <reference field="10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2B976D-00B5-4785-96ED-BE342BB2FC64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03e1ac06-ebb8-40bf-9185-6db098f5dbc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DCC5-9274-45A8-9C73-343A7E021F09}">
  <dimension ref="A1:J200"/>
  <sheetViews>
    <sheetView tabSelected="1" zoomScale="86" zoomScaleNormal="86" workbookViewId="0">
      <selection activeCell="B35" sqref="B35"/>
    </sheetView>
  </sheetViews>
  <sheetFormatPr baseColWidth="10" defaultRowHeight="14.5" x14ac:dyDescent="0.35"/>
  <cols>
    <col min="1" max="1" width="12" bestFit="1" customWidth="1"/>
    <col min="2" max="2" width="48.81640625" bestFit="1" customWidth="1"/>
    <col min="3" max="3" width="21" style="6" bestFit="1" customWidth="1"/>
    <col min="4" max="4" width="32.6328125" bestFit="1" customWidth="1"/>
    <col min="6" max="6" width="10.26953125" bestFit="1" customWidth="1"/>
    <col min="7" max="7" width="14.453125" bestFit="1" customWidth="1"/>
    <col min="8" max="8" width="14.453125" customWidth="1"/>
    <col min="9" max="9" width="25" bestFit="1" customWidth="1"/>
    <col min="10" max="10" width="15.26953125" bestFit="1" customWidth="1"/>
  </cols>
  <sheetData>
    <row r="1" spans="1:10" x14ac:dyDescent="0.35">
      <c r="A1" s="1" t="s">
        <v>17</v>
      </c>
      <c r="B1" t="s">
        <v>46</v>
      </c>
    </row>
    <row r="3" spans="1:10" x14ac:dyDescent="0.35">
      <c r="A3" s="5" t="s">
        <v>1</v>
      </c>
      <c r="B3" s="5" t="s">
        <v>4</v>
      </c>
      <c r="C3" s="7" t="s">
        <v>0</v>
      </c>
      <c r="D3" s="5" t="s">
        <v>7</v>
      </c>
      <c r="E3" s="5" t="s">
        <v>5</v>
      </c>
      <c r="F3" s="5" t="s">
        <v>6</v>
      </c>
      <c r="G3" s="5" t="s">
        <v>108</v>
      </c>
      <c r="H3" s="5" t="s">
        <v>2</v>
      </c>
      <c r="I3" s="11" t="s">
        <v>112</v>
      </c>
    </row>
    <row r="4" spans="1:10" x14ac:dyDescent="0.35">
      <c r="A4" s="16">
        <v>203571</v>
      </c>
      <c r="B4" s="16" t="s">
        <v>52</v>
      </c>
      <c r="C4" s="17">
        <v>46199</v>
      </c>
      <c r="D4" s="16" t="s">
        <v>45</v>
      </c>
      <c r="E4" s="16" t="s">
        <v>44</v>
      </c>
      <c r="F4" s="16">
        <v>11</v>
      </c>
      <c r="G4" s="16">
        <v>26</v>
      </c>
      <c r="H4" s="16" t="s">
        <v>51</v>
      </c>
      <c r="I4" s="16" t="s">
        <v>114</v>
      </c>
    </row>
    <row r="5" spans="1:10" x14ac:dyDescent="0.35">
      <c r="A5" s="16"/>
      <c r="B5" s="16" t="s">
        <v>54</v>
      </c>
      <c r="C5" s="17">
        <v>46199</v>
      </c>
      <c r="D5" s="16" t="s">
        <v>45</v>
      </c>
      <c r="E5" s="16" t="s">
        <v>44</v>
      </c>
      <c r="F5" s="16">
        <v>5</v>
      </c>
      <c r="G5" s="16">
        <v>26</v>
      </c>
      <c r="H5" s="16" t="s">
        <v>53</v>
      </c>
      <c r="I5" s="16" t="s">
        <v>114</v>
      </c>
    </row>
    <row r="6" spans="1:10" x14ac:dyDescent="0.35">
      <c r="A6" s="16"/>
      <c r="B6" s="16" t="s">
        <v>60</v>
      </c>
      <c r="C6" s="17">
        <v>46199</v>
      </c>
      <c r="D6" s="16" t="s">
        <v>45</v>
      </c>
      <c r="E6" s="16" t="s">
        <v>44</v>
      </c>
      <c r="F6" s="16">
        <v>23</v>
      </c>
      <c r="G6" s="16">
        <v>26</v>
      </c>
      <c r="H6" s="16" t="s">
        <v>59</v>
      </c>
      <c r="I6" s="16" t="s">
        <v>114</v>
      </c>
    </row>
    <row r="7" spans="1:10" x14ac:dyDescent="0.35">
      <c r="A7">
        <v>203957</v>
      </c>
      <c r="B7" t="s">
        <v>32</v>
      </c>
      <c r="C7" s="3">
        <v>46163</v>
      </c>
      <c r="D7" t="s">
        <v>45</v>
      </c>
      <c r="E7" t="s">
        <v>33</v>
      </c>
      <c r="F7">
        <v>5</v>
      </c>
      <c r="G7">
        <v>21</v>
      </c>
      <c r="H7" t="s">
        <v>30</v>
      </c>
      <c r="I7" t="s">
        <v>110</v>
      </c>
    </row>
    <row r="8" spans="1:10" x14ac:dyDescent="0.35">
      <c r="A8">
        <v>204876</v>
      </c>
      <c r="B8" t="s">
        <v>48</v>
      </c>
      <c r="C8" s="3">
        <v>46163</v>
      </c>
      <c r="D8" t="s">
        <v>34</v>
      </c>
      <c r="E8" t="s">
        <v>44</v>
      </c>
      <c r="F8">
        <v>8</v>
      </c>
      <c r="G8">
        <v>21</v>
      </c>
      <c r="H8" t="s">
        <v>47</v>
      </c>
      <c r="I8" t="s">
        <v>110</v>
      </c>
    </row>
    <row r="9" spans="1:10" x14ac:dyDescent="0.35">
      <c r="B9" t="s">
        <v>50</v>
      </c>
      <c r="C9" s="3">
        <v>46163</v>
      </c>
      <c r="D9" t="s">
        <v>34</v>
      </c>
      <c r="E9" t="s">
        <v>44</v>
      </c>
      <c r="F9">
        <v>11</v>
      </c>
      <c r="G9">
        <v>21</v>
      </c>
      <c r="H9" t="s">
        <v>49</v>
      </c>
      <c r="I9" t="s">
        <v>110</v>
      </c>
    </row>
    <row r="10" spans="1:10" x14ac:dyDescent="0.35">
      <c r="B10" t="s">
        <v>43</v>
      </c>
      <c r="C10" s="3">
        <v>46163</v>
      </c>
      <c r="D10" t="s">
        <v>34</v>
      </c>
      <c r="E10" t="s">
        <v>44</v>
      </c>
      <c r="F10">
        <v>8</v>
      </c>
      <c r="G10">
        <v>21</v>
      </c>
      <c r="H10" t="s">
        <v>42</v>
      </c>
      <c r="I10" t="s">
        <v>110</v>
      </c>
    </row>
    <row r="11" spans="1:10" x14ac:dyDescent="0.35">
      <c r="A11">
        <v>204896</v>
      </c>
      <c r="B11" t="s">
        <v>48</v>
      </c>
      <c r="C11" s="3">
        <v>46163</v>
      </c>
      <c r="D11" t="s">
        <v>45</v>
      </c>
      <c r="E11" t="s">
        <v>44</v>
      </c>
      <c r="F11">
        <v>9</v>
      </c>
      <c r="G11">
        <v>21</v>
      </c>
      <c r="H11" t="s">
        <v>47</v>
      </c>
      <c r="I11" t="s">
        <v>110</v>
      </c>
    </row>
    <row r="12" spans="1:10" x14ac:dyDescent="0.35">
      <c r="B12" t="s">
        <v>50</v>
      </c>
      <c r="C12" s="3">
        <v>46163</v>
      </c>
      <c r="D12" t="s">
        <v>45</v>
      </c>
      <c r="E12" t="s">
        <v>44</v>
      </c>
      <c r="F12">
        <v>22</v>
      </c>
      <c r="G12">
        <v>21</v>
      </c>
      <c r="H12" t="s">
        <v>49</v>
      </c>
      <c r="I12" t="s">
        <v>110</v>
      </c>
    </row>
    <row r="13" spans="1:10" x14ac:dyDescent="0.35">
      <c r="B13" t="s">
        <v>43</v>
      </c>
      <c r="C13" s="3">
        <v>46163</v>
      </c>
      <c r="D13" t="s">
        <v>45</v>
      </c>
      <c r="E13" t="s">
        <v>44</v>
      </c>
      <c r="F13">
        <v>22</v>
      </c>
      <c r="G13">
        <v>21</v>
      </c>
      <c r="H13" t="s">
        <v>42</v>
      </c>
      <c r="I13" t="s">
        <v>110</v>
      </c>
    </row>
    <row r="14" spans="1:10" x14ac:dyDescent="0.35">
      <c r="A14">
        <v>204934</v>
      </c>
      <c r="B14" t="s">
        <v>50</v>
      </c>
      <c r="C14" s="3">
        <v>46199</v>
      </c>
      <c r="D14" t="s">
        <v>45</v>
      </c>
      <c r="E14" t="s">
        <v>44</v>
      </c>
      <c r="F14">
        <v>24</v>
      </c>
      <c r="G14">
        <v>26</v>
      </c>
      <c r="H14" t="s">
        <v>49</v>
      </c>
      <c r="I14" t="s">
        <v>110</v>
      </c>
      <c r="J14">
        <f>31-5-14</f>
        <v>12</v>
      </c>
    </row>
    <row r="15" spans="1:10" x14ac:dyDescent="0.35">
      <c r="B15" t="s">
        <v>43</v>
      </c>
      <c r="C15" s="3">
        <v>46199</v>
      </c>
      <c r="D15" t="s">
        <v>45</v>
      </c>
      <c r="E15" t="s">
        <v>44</v>
      </c>
      <c r="F15">
        <v>19</v>
      </c>
      <c r="G15">
        <v>26</v>
      </c>
      <c r="H15" t="s">
        <v>42</v>
      </c>
      <c r="I15" t="s">
        <v>110</v>
      </c>
    </row>
    <row r="16" spans="1:10" x14ac:dyDescent="0.35">
      <c r="A16">
        <v>205369</v>
      </c>
      <c r="B16" t="s">
        <v>43</v>
      </c>
      <c r="C16" s="3">
        <v>46163</v>
      </c>
      <c r="D16" t="s">
        <v>45</v>
      </c>
      <c r="E16" t="s">
        <v>44</v>
      </c>
      <c r="F16">
        <v>17</v>
      </c>
      <c r="G16">
        <v>21</v>
      </c>
      <c r="H16" t="s">
        <v>42</v>
      </c>
      <c r="I16" t="s">
        <v>110</v>
      </c>
    </row>
    <row r="17" spans="1:9" x14ac:dyDescent="0.35">
      <c r="A17">
        <v>205370</v>
      </c>
      <c r="B17" t="s">
        <v>70</v>
      </c>
      <c r="C17" s="3">
        <v>46177</v>
      </c>
      <c r="D17" t="s">
        <v>34</v>
      </c>
      <c r="E17" t="s">
        <v>33</v>
      </c>
      <c r="F17">
        <v>2</v>
      </c>
      <c r="G17">
        <v>23</v>
      </c>
      <c r="H17" t="s">
        <v>69</v>
      </c>
      <c r="I17" t="s">
        <v>110</v>
      </c>
    </row>
    <row r="18" spans="1:9" x14ac:dyDescent="0.35">
      <c r="A18">
        <v>206429</v>
      </c>
      <c r="B18" t="s">
        <v>32</v>
      </c>
      <c r="C18" s="3">
        <v>46170</v>
      </c>
      <c r="D18" t="s">
        <v>34</v>
      </c>
      <c r="E18" t="s">
        <v>33</v>
      </c>
      <c r="F18">
        <v>24</v>
      </c>
      <c r="G18">
        <v>22</v>
      </c>
      <c r="H18" t="s">
        <v>30</v>
      </c>
      <c r="I18" t="s">
        <v>111</v>
      </c>
    </row>
    <row r="19" spans="1:9" x14ac:dyDescent="0.35">
      <c r="A19">
        <v>206446</v>
      </c>
      <c r="B19" t="s">
        <v>78</v>
      </c>
      <c r="C19" s="3">
        <v>46191</v>
      </c>
      <c r="D19" t="s">
        <v>34</v>
      </c>
      <c r="E19" t="s">
        <v>44</v>
      </c>
      <c r="F19">
        <v>1</v>
      </c>
      <c r="G19">
        <v>25</v>
      </c>
      <c r="H19" t="s">
        <v>77</v>
      </c>
      <c r="I19" t="s">
        <v>110</v>
      </c>
    </row>
    <row r="20" spans="1:9" x14ac:dyDescent="0.35">
      <c r="B20" t="s">
        <v>70</v>
      </c>
      <c r="C20" s="3">
        <v>46191</v>
      </c>
      <c r="D20" t="s">
        <v>34</v>
      </c>
      <c r="E20" t="s">
        <v>33</v>
      </c>
      <c r="F20">
        <v>1</v>
      </c>
      <c r="G20">
        <v>25</v>
      </c>
      <c r="H20" t="s">
        <v>69</v>
      </c>
      <c r="I20" t="s">
        <v>110</v>
      </c>
    </row>
    <row r="21" spans="1:9" x14ac:dyDescent="0.35">
      <c r="B21" t="s">
        <v>74</v>
      </c>
      <c r="C21" s="3">
        <v>46191</v>
      </c>
      <c r="D21" t="s">
        <v>34</v>
      </c>
      <c r="E21" t="s">
        <v>33</v>
      </c>
      <c r="F21">
        <v>1</v>
      </c>
      <c r="G21">
        <v>25</v>
      </c>
      <c r="H21" t="s">
        <v>73</v>
      </c>
      <c r="I21" t="s">
        <v>110</v>
      </c>
    </row>
    <row r="22" spans="1:9" x14ac:dyDescent="0.35">
      <c r="B22" t="s">
        <v>80</v>
      </c>
      <c r="C22" s="3">
        <v>46191</v>
      </c>
      <c r="D22" t="s">
        <v>34</v>
      </c>
      <c r="E22" t="s">
        <v>33</v>
      </c>
      <c r="F22">
        <v>1</v>
      </c>
      <c r="G22">
        <v>25</v>
      </c>
      <c r="H22" t="s">
        <v>79</v>
      </c>
      <c r="I22" t="s">
        <v>110</v>
      </c>
    </row>
    <row r="23" spans="1:9" x14ac:dyDescent="0.35">
      <c r="B23" t="s">
        <v>76</v>
      </c>
      <c r="C23" s="3">
        <v>46191</v>
      </c>
      <c r="D23" t="s">
        <v>34</v>
      </c>
      <c r="E23" t="s">
        <v>33</v>
      </c>
      <c r="F23">
        <v>1</v>
      </c>
      <c r="G23">
        <v>25</v>
      </c>
      <c r="H23" t="s">
        <v>75</v>
      </c>
      <c r="I23" t="s">
        <v>110</v>
      </c>
    </row>
    <row r="24" spans="1:9" x14ac:dyDescent="0.35">
      <c r="B24" t="s">
        <v>82</v>
      </c>
      <c r="C24" s="3">
        <v>46191</v>
      </c>
      <c r="D24" t="s">
        <v>34</v>
      </c>
      <c r="E24" t="s">
        <v>44</v>
      </c>
      <c r="F24">
        <v>1</v>
      </c>
      <c r="G24">
        <v>25</v>
      </c>
      <c r="H24" t="s">
        <v>81</v>
      </c>
      <c r="I24" t="s">
        <v>110</v>
      </c>
    </row>
    <row r="25" spans="1:9" x14ac:dyDescent="0.35">
      <c r="B25" t="s">
        <v>84</v>
      </c>
      <c r="C25" s="3">
        <v>46191</v>
      </c>
      <c r="D25" t="s">
        <v>34</v>
      </c>
      <c r="E25" t="s">
        <v>44</v>
      </c>
      <c r="F25">
        <v>1</v>
      </c>
      <c r="G25">
        <v>25</v>
      </c>
      <c r="H25" t="s">
        <v>83</v>
      </c>
      <c r="I25" t="s">
        <v>110</v>
      </c>
    </row>
    <row r="26" spans="1:9" x14ac:dyDescent="0.35">
      <c r="B26" t="s">
        <v>86</v>
      </c>
      <c r="C26" s="3">
        <v>46191</v>
      </c>
      <c r="D26" t="s">
        <v>34</v>
      </c>
      <c r="E26" t="s">
        <v>33</v>
      </c>
      <c r="F26">
        <v>1</v>
      </c>
      <c r="G26">
        <v>25</v>
      </c>
      <c r="H26" t="s">
        <v>85</v>
      </c>
      <c r="I26" t="s">
        <v>110</v>
      </c>
    </row>
    <row r="27" spans="1:9" x14ac:dyDescent="0.35">
      <c r="B27" t="s">
        <v>56</v>
      </c>
      <c r="C27" s="3">
        <v>46191</v>
      </c>
      <c r="D27" t="s">
        <v>34</v>
      </c>
      <c r="E27" t="s">
        <v>44</v>
      </c>
      <c r="F27">
        <v>1</v>
      </c>
      <c r="G27">
        <v>25</v>
      </c>
      <c r="H27" t="s">
        <v>55</v>
      </c>
      <c r="I27" t="s">
        <v>110</v>
      </c>
    </row>
    <row r="28" spans="1:9" x14ac:dyDescent="0.35">
      <c r="B28" t="s">
        <v>88</v>
      </c>
      <c r="C28" s="3">
        <v>46191</v>
      </c>
      <c r="D28" t="s">
        <v>34</v>
      </c>
      <c r="E28" t="s">
        <v>44</v>
      </c>
      <c r="F28">
        <v>1</v>
      </c>
      <c r="G28">
        <v>25</v>
      </c>
      <c r="H28" t="s">
        <v>87</v>
      </c>
      <c r="I28" t="s">
        <v>110</v>
      </c>
    </row>
    <row r="29" spans="1:9" x14ac:dyDescent="0.35">
      <c r="B29" t="s">
        <v>90</v>
      </c>
      <c r="C29" s="3">
        <v>46191</v>
      </c>
      <c r="D29" t="s">
        <v>34</v>
      </c>
      <c r="E29" t="s">
        <v>44</v>
      </c>
      <c r="F29">
        <v>1</v>
      </c>
      <c r="G29">
        <v>25</v>
      </c>
      <c r="H29" t="s">
        <v>89</v>
      </c>
      <c r="I29" t="s">
        <v>110</v>
      </c>
    </row>
    <row r="30" spans="1:9" x14ac:dyDescent="0.35">
      <c r="B30" t="s">
        <v>92</v>
      </c>
      <c r="C30" s="3">
        <v>46191</v>
      </c>
      <c r="D30" t="s">
        <v>34</v>
      </c>
      <c r="E30" t="s">
        <v>33</v>
      </c>
      <c r="F30">
        <v>1</v>
      </c>
      <c r="G30">
        <v>25</v>
      </c>
      <c r="H30" t="s">
        <v>91</v>
      </c>
      <c r="I30" t="s">
        <v>110</v>
      </c>
    </row>
    <row r="31" spans="1:9" x14ac:dyDescent="0.35">
      <c r="B31" t="s">
        <v>48</v>
      </c>
      <c r="C31" s="3">
        <v>46191</v>
      </c>
      <c r="D31" t="s">
        <v>34</v>
      </c>
      <c r="E31" t="s">
        <v>44</v>
      </c>
      <c r="F31">
        <v>9</v>
      </c>
      <c r="G31">
        <v>25</v>
      </c>
      <c r="H31" t="s">
        <v>47</v>
      </c>
      <c r="I31" t="s">
        <v>110</v>
      </c>
    </row>
    <row r="32" spans="1:9" x14ac:dyDescent="0.35">
      <c r="A32">
        <v>206447</v>
      </c>
      <c r="B32" t="s">
        <v>52</v>
      </c>
      <c r="C32" s="3">
        <v>46170</v>
      </c>
      <c r="D32" t="s">
        <v>34</v>
      </c>
      <c r="E32" t="s">
        <v>44</v>
      </c>
      <c r="F32">
        <v>6</v>
      </c>
      <c r="G32">
        <v>22</v>
      </c>
      <c r="H32" t="s">
        <v>51</v>
      </c>
      <c r="I32" t="s">
        <v>110</v>
      </c>
    </row>
    <row r="33" spans="1:9" x14ac:dyDescent="0.35">
      <c r="B33" t="s">
        <v>60</v>
      </c>
      <c r="C33" s="3">
        <v>46170</v>
      </c>
      <c r="D33" t="s">
        <v>34</v>
      </c>
      <c r="E33" t="s">
        <v>44</v>
      </c>
      <c r="F33">
        <v>46</v>
      </c>
      <c r="G33">
        <v>22</v>
      </c>
      <c r="H33" t="s">
        <v>59</v>
      </c>
      <c r="I33" t="s">
        <v>110</v>
      </c>
    </row>
    <row r="34" spans="1:9" x14ac:dyDescent="0.35">
      <c r="B34" t="s">
        <v>62</v>
      </c>
      <c r="C34" s="3">
        <v>46170</v>
      </c>
      <c r="D34" t="s">
        <v>34</v>
      </c>
      <c r="E34" t="s">
        <v>44</v>
      </c>
      <c r="F34">
        <v>21</v>
      </c>
      <c r="G34">
        <v>22</v>
      </c>
      <c r="H34" t="s">
        <v>61</v>
      </c>
      <c r="I34" t="s">
        <v>110</v>
      </c>
    </row>
    <row r="35" spans="1:9" x14ac:dyDescent="0.35">
      <c r="B35" s="10" t="s">
        <v>32</v>
      </c>
      <c r="C35" s="3">
        <v>46170</v>
      </c>
      <c r="D35" t="s">
        <v>34</v>
      </c>
      <c r="E35" t="s">
        <v>33</v>
      </c>
      <c r="F35">
        <v>5</v>
      </c>
      <c r="G35">
        <v>22</v>
      </c>
      <c r="H35" t="s">
        <v>30</v>
      </c>
      <c r="I35" t="s">
        <v>110</v>
      </c>
    </row>
    <row r="36" spans="1:9" x14ac:dyDescent="0.35">
      <c r="B36" t="s">
        <v>64</v>
      </c>
      <c r="C36" s="3">
        <v>46170</v>
      </c>
      <c r="D36" t="s">
        <v>34</v>
      </c>
      <c r="E36" t="s">
        <v>44</v>
      </c>
      <c r="F36">
        <v>1</v>
      </c>
      <c r="G36">
        <v>22</v>
      </c>
      <c r="H36" t="s">
        <v>63</v>
      </c>
      <c r="I36" t="s">
        <v>110</v>
      </c>
    </row>
    <row r="37" spans="1:9" x14ac:dyDescent="0.35">
      <c r="B37" t="s">
        <v>66</v>
      </c>
      <c r="C37" s="3">
        <v>46170</v>
      </c>
      <c r="D37" t="s">
        <v>34</v>
      </c>
      <c r="E37" t="s">
        <v>44</v>
      </c>
      <c r="F37">
        <v>1</v>
      </c>
      <c r="G37">
        <v>22</v>
      </c>
      <c r="H37" t="s">
        <v>65</v>
      </c>
      <c r="I37" t="s">
        <v>110</v>
      </c>
    </row>
    <row r="38" spans="1:9" x14ac:dyDescent="0.35">
      <c r="B38" t="s">
        <v>58</v>
      </c>
      <c r="C38" s="3">
        <v>46170</v>
      </c>
      <c r="D38" t="s">
        <v>34</v>
      </c>
      <c r="E38" t="s">
        <v>44</v>
      </c>
      <c r="F38">
        <v>1</v>
      </c>
      <c r="G38">
        <v>22</v>
      </c>
      <c r="H38" t="s">
        <v>57</v>
      </c>
      <c r="I38" t="s">
        <v>110</v>
      </c>
    </row>
    <row r="39" spans="1:9" x14ac:dyDescent="0.35">
      <c r="B39" t="s">
        <v>50</v>
      </c>
      <c r="C39" s="3">
        <v>46170</v>
      </c>
      <c r="D39" t="s">
        <v>34</v>
      </c>
      <c r="E39" t="s">
        <v>44</v>
      </c>
      <c r="F39">
        <v>9</v>
      </c>
      <c r="G39">
        <v>22</v>
      </c>
      <c r="H39" t="s">
        <v>49</v>
      </c>
      <c r="I39" t="s">
        <v>110</v>
      </c>
    </row>
    <row r="40" spans="1:9" x14ac:dyDescent="0.35">
      <c r="B40" t="s">
        <v>43</v>
      </c>
      <c r="C40" s="3">
        <v>46170</v>
      </c>
      <c r="D40" t="s">
        <v>34</v>
      </c>
      <c r="E40" t="s">
        <v>44</v>
      </c>
      <c r="F40">
        <v>11</v>
      </c>
      <c r="G40">
        <v>22</v>
      </c>
      <c r="H40" t="s">
        <v>42</v>
      </c>
      <c r="I40" t="s">
        <v>110</v>
      </c>
    </row>
    <row r="41" spans="1:9" x14ac:dyDescent="0.35">
      <c r="B41" t="s">
        <v>68</v>
      </c>
      <c r="C41" s="3">
        <v>46170</v>
      </c>
      <c r="D41" t="s">
        <v>34</v>
      </c>
      <c r="E41" t="s">
        <v>44</v>
      </c>
      <c r="F41">
        <v>4</v>
      </c>
      <c r="G41">
        <v>22</v>
      </c>
      <c r="H41" t="s">
        <v>67</v>
      </c>
      <c r="I41" t="s">
        <v>110</v>
      </c>
    </row>
    <row r="42" spans="1:9" x14ac:dyDescent="0.35">
      <c r="A42">
        <v>206528</v>
      </c>
      <c r="B42" t="s">
        <v>52</v>
      </c>
      <c r="C42" s="3">
        <v>46170</v>
      </c>
      <c r="D42" t="s">
        <v>45</v>
      </c>
      <c r="E42" t="s">
        <v>44</v>
      </c>
      <c r="F42">
        <v>11</v>
      </c>
      <c r="G42">
        <v>22</v>
      </c>
      <c r="H42" t="s">
        <v>51</v>
      </c>
      <c r="I42" t="s">
        <v>113</v>
      </c>
    </row>
    <row r="43" spans="1:9" x14ac:dyDescent="0.35">
      <c r="B43" t="s">
        <v>54</v>
      </c>
      <c r="C43" s="3">
        <v>46170</v>
      </c>
      <c r="D43" t="s">
        <v>45</v>
      </c>
      <c r="E43" t="s">
        <v>44</v>
      </c>
      <c r="F43">
        <v>10</v>
      </c>
      <c r="G43">
        <v>22</v>
      </c>
      <c r="H43" t="s">
        <v>53</v>
      </c>
      <c r="I43" t="s">
        <v>113</v>
      </c>
    </row>
    <row r="44" spans="1:9" x14ac:dyDescent="0.35">
      <c r="B44" t="s">
        <v>56</v>
      </c>
      <c r="C44" s="3">
        <v>46170</v>
      </c>
      <c r="D44" t="s">
        <v>45</v>
      </c>
      <c r="E44" t="s">
        <v>44</v>
      </c>
      <c r="F44">
        <v>25</v>
      </c>
      <c r="G44">
        <v>22</v>
      </c>
      <c r="H44" t="s">
        <v>55</v>
      </c>
      <c r="I44" t="s">
        <v>113</v>
      </c>
    </row>
    <row r="45" spans="1:9" x14ac:dyDescent="0.35">
      <c r="B45" t="s">
        <v>56</v>
      </c>
      <c r="C45" s="3">
        <v>46170</v>
      </c>
      <c r="D45" t="s">
        <v>45</v>
      </c>
      <c r="E45" t="s">
        <v>44</v>
      </c>
      <c r="F45">
        <v>121</v>
      </c>
      <c r="G45">
        <v>22</v>
      </c>
      <c r="H45" t="s">
        <v>55</v>
      </c>
      <c r="I45" t="s">
        <v>113</v>
      </c>
    </row>
    <row r="46" spans="1:9" x14ac:dyDescent="0.35">
      <c r="B46" t="s">
        <v>58</v>
      </c>
      <c r="C46" s="3">
        <v>46170</v>
      </c>
      <c r="D46" t="s">
        <v>45</v>
      </c>
      <c r="E46" t="s">
        <v>44</v>
      </c>
      <c r="F46">
        <v>30</v>
      </c>
      <c r="G46">
        <v>22</v>
      </c>
      <c r="H46" t="s">
        <v>57</v>
      </c>
      <c r="I46" t="s">
        <v>113</v>
      </c>
    </row>
    <row r="47" spans="1:9" x14ac:dyDescent="0.35">
      <c r="B47" t="s">
        <v>58</v>
      </c>
      <c r="C47" s="3">
        <v>46170</v>
      </c>
      <c r="D47" t="s">
        <v>45</v>
      </c>
      <c r="E47" t="s">
        <v>44</v>
      </c>
      <c r="F47">
        <v>40</v>
      </c>
      <c r="G47">
        <v>22</v>
      </c>
      <c r="H47" t="s">
        <v>57</v>
      </c>
      <c r="I47" t="s">
        <v>113</v>
      </c>
    </row>
    <row r="48" spans="1:9" x14ac:dyDescent="0.35">
      <c r="A48">
        <v>206530</v>
      </c>
      <c r="B48" t="s">
        <v>84</v>
      </c>
      <c r="C48" s="3">
        <v>46219</v>
      </c>
      <c r="D48" t="s">
        <v>45</v>
      </c>
      <c r="E48" t="s">
        <v>44</v>
      </c>
      <c r="F48">
        <v>45</v>
      </c>
      <c r="G48">
        <v>29</v>
      </c>
      <c r="H48" t="s">
        <v>83</v>
      </c>
      <c r="I48" t="s">
        <v>110</v>
      </c>
    </row>
    <row r="49" spans="1:9" x14ac:dyDescent="0.35">
      <c r="A49">
        <v>206839</v>
      </c>
      <c r="B49" t="s">
        <v>70</v>
      </c>
      <c r="C49" s="3">
        <v>46184</v>
      </c>
      <c r="D49" t="s">
        <v>34</v>
      </c>
      <c r="E49" t="s">
        <v>33</v>
      </c>
      <c r="F49">
        <v>1</v>
      </c>
      <c r="G49">
        <v>24</v>
      </c>
      <c r="H49" t="s">
        <v>69</v>
      </c>
      <c r="I49" t="s">
        <v>110</v>
      </c>
    </row>
    <row r="50" spans="1:9" x14ac:dyDescent="0.35">
      <c r="B50" t="s">
        <v>74</v>
      </c>
      <c r="C50" s="3">
        <v>46184</v>
      </c>
      <c r="D50" t="s">
        <v>34</v>
      </c>
      <c r="E50" t="s">
        <v>33</v>
      </c>
      <c r="F50">
        <v>1</v>
      </c>
      <c r="G50">
        <v>24</v>
      </c>
      <c r="H50" t="s">
        <v>73</v>
      </c>
      <c r="I50" t="s">
        <v>110</v>
      </c>
    </row>
    <row r="51" spans="1:9" x14ac:dyDescent="0.35">
      <c r="B51" t="s">
        <v>76</v>
      </c>
      <c r="C51" s="3">
        <v>46184</v>
      </c>
      <c r="D51" t="s">
        <v>34</v>
      </c>
      <c r="E51" t="s">
        <v>33</v>
      </c>
      <c r="F51">
        <v>1</v>
      </c>
      <c r="G51">
        <v>24</v>
      </c>
      <c r="H51" t="s">
        <v>75</v>
      </c>
      <c r="I51" t="s">
        <v>110</v>
      </c>
    </row>
    <row r="52" spans="1:9" x14ac:dyDescent="0.35">
      <c r="A52">
        <v>206843</v>
      </c>
      <c r="B52" t="s">
        <v>56</v>
      </c>
      <c r="C52" s="3">
        <v>46212</v>
      </c>
      <c r="D52" t="s">
        <v>45</v>
      </c>
      <c r="E52" t="s">
        <v>44</v>
      </c>
      <c r="F52">
        <v>64</v>
      </c>
      <c r="G52">
        <v>28</v>
      </c>
      <c r="H52" t="s">
        <v>55</v>
      </c>
      <c r="I52" t="s">
        <v>110</v>
      </c>
    </row>
    <row r="53" spans="1:9" x14ac:dyDescent="0.35">
      <c r="A53">
        <v>206845</v>
      </c>
      <c r="B53" t="s">
        <v>72</v>
      </c>
      <c r="C53" s="3">
        <v>46184</v>
      </c>
      <c r="D53" t="s">
        <v>34</v>
      </c>
      <c r="E53" t="s">
        <v>44</v>
      </c>
      <c r="F53">
        <v>300</v>
      </c>
      <c r="G53">
        <v>24</v>
      </c>
      <c r="H53" t="s">
        <v>71</v>
      </c>
    </row>
    <row r="54" spans="1:9" x14ac:dyDescent="0.35">
      <c r="A54">
        <v>207701</v>
      </c>
      <c r="B54" t="s">
        <v>50</v>
      </c>
      <c r="C54" s="3">
        <v>46219</v>
      </c>
      <c r="D54" t="s">
        <v>45</v>
      </c>
      <c r="E54" t="s">
        <v>44</v>
      </c>
      <c r="F54">
        <v>23</v>
      </c>
      <c r="G54">
        <v>29</v>
      </c>
      <c r="H54" t="s">
        <v>49</v>
      </c>
      <c r="I54" t="s">
        <v>110</v>
      </c>
    </row>
    <row r="55" spans="1:9" x14ac:dyDescent="0.35">
      <c r="B55" t="s">
        <v>43</v>
      </c>
      <c r="C55" s="3">
        <v>46219</v>
      </c>
      <c r="D55" t="s">
        <v>45</v>
      </c>
      <c r="E55" t="s">
        <v>44</v>
      </c>
      <c r="F55">
        <v>24</v>
      </c>
      <c r="G55">
        <v>29</v>
      </c>
      <c r="H55" t="s">
        <v>42</v>
      </c>
      <c r="I55" t="s">
        <v>110</v>
      </c>
    </row>
    <row r="56" spans="1:9" x14ac:dyDescent="0.35">
      <c r="A56">
        <v>207824</v>
      </c>
      <c r="B56" t="s">
        <v>56</v>
      </c>
      <c r="C56" s="3">
        <v>46191</v>
      </c>
      <c r="D56" t="s">
        <v>34</v>
      </c>
      <c r="E56" t="s">
        <v>44</v>
      </c>
      <c r="F56">
        <v>40</v>
      </c>
      <c r="G56">
        <v>25</v>
      </c>
      <c r="H56" t="s">
        <v>55</v>
      </c>
      <c r="I56" t="s">
        <v>110</v>
      </c>
    </row>
    <row r="57" spans="1:9" x14ac:dyDescent="0.35">
      <c r="A57">
        <v>208355</v>
      </c>
      <c r="B57" t="s">
        <v>72</v>
      </c>
      <c r="C57" s="3">
        <v>46219</v>
      </c>
      <c r="D57" t="s">
        <v>45</v>
      </c>
      <c r="E57" t="s">
        <v>44</v>
      </c>
      <c r="F57">
        <v>443</v>
      </c>
      <c r="G57">
        <v>29</v>
      </c>
      <c r="H57" t="s">
        <v>71</v>
      </c>
      <c r="I57" t="s">
        <v>111</v>
      </c>
    </row>
    <row r="58" spans="1:9" x14ac:dyDescent="0.35">
      <c r="A58">
        <v>208356</v>
      </c>
      <c r="B58" t="s">
        <v>72</v>
      </c>
      <c r="C58" s="3">
        <v>46219</v>
      </c>
      <c r="D58" t="s">
        <v>34</v>
      </c>
      <c r="E58" t="s">
        <v>44</v>
      </c>
      <c r="F58">
        <v>300</v>
      </c>
      <c r="G58">
        <v>29</v>
      </c>
      <c r="H58" t="s">
        <v>71</v>
      </c>
      <c r="I58" t="s">
        <v>111</v>
      </c>
    </row>
    <row r="59" spans="1:9" x14ac:dyDescent="0.35">
      <c r="A59">
        <v>208357</v>
      </c>
      <c r="B59" t="s">
        <v>72</v>
      </c>
      <c r="C59" s="3">
        <v>46212</v>
      </c>
      <c r="D59" t="s">
        <v>45</v>
      </c>
      <c r="E59" t="s">
        <v>44</v>
      </c>
      <c r="F59">
        <v>444</v>
      </c>
      <c r="G59">
        <v>28</v>
      </c>
      <c r="H59" t="s">
        <v>71</v>
      </c>
      <c r="I59" t="s">
        <v>111</v>
      </c>
    </row>
    <row r="60" spans="1:9" x14ac:dyDescent="0.35">
      <c r="A60">
        <v>208358</v>
      </c>
      <c r="B60" t="s">
        <v>72</v>
      </c>
      <c r="C60" s="3">
        <v>46226</v>
      </c>
      <c r="D60" t="s">
        <v>45</v>
      </c>
      <c r="E60" t="s">
        <v>44</v>
      </c>
      <c r="F60">
        <v>443</v>
      </c>
      <c r="G60">
        <v>30</v>
      </c>
      <c r="H60" t="s">
        <v>71</v>
      </c>
      <c r="I60" t="s">
        <v>109</v>
      </c>
    </row>
    <row r="61" spans="1:9" x14ac:dyDescent="0.35">
      <c r="A61">
        <v>208375</v>
      </c>
      <c r="B61" t="s">
        <v>54</v>
      </c>
      <c r="C61" s="3">
        <v>46205</v>
      </c>
      <c r="D61" t="s">
        <v>93</v>
      </c>
      <c r="E61" t="s">
        <v>44</v>
      </c>
      <c r="F61">
        <v>3</v>
      </c>
      <c r="G61">
        <v>27</v>
      </c>
      <c r="H61" t="s">
        <v>53</v>
      </c>
      <c r="I61" t="s">
        <v>109</v>
      </c>
    </row>
    <row r="62" spans="1:9" x14ac:dyDescent="0.35">
      <c r="B62" t="s">
        <v>84</v>
      </c>
      <c r="C62" s="3">
        <v>46205</v>
      </c>
      <c r="D62" t="s">
        <v>93</v>
      </c>
      <c r="E62" t="s">
        <v>44</v>
      </c>
      <c r="F62">
        <v>3</v>
      </c>
      <c r="G62">
        <v>27</v>
      </c>
      <c r="H62" t="s">
        <v>83</v>
      </c>
      <c r="I62" t="s">
        <v>109</v>
      </c>
    </row>
    <row r="63" spans="1:9" x14ac:dyDescent="0.35">
      <c r="B63" t="s">
        <v>60</v>
      </c>
      <c r="C63" s="3">
        <v>46205</v>
      </c>
      <c r="D63" t="s">
        <v>93</v>
      </c>
      <c r="E63" t="s">
        <v>44</v>
      </c>
      <c r="F63">
        <v>5</v>
      </c>
      <c r="G63">
        <v>27</v>
      </c>
      <c r="H63" t="s">
        <v>59</v>
      </c>
      <c r="I63" t="s">
        <v>109</v>
      </c>
    </row>
    <row r="64" spans="1:9" x14ac:dyDescent="0.35">
      <c r="B64" t="s">
        <v>62</v>
      </c>
      <c r="C64" s="3">
        <v>46205</v>
      </c>
      <c r="D64" t="s">
        <v>93</v>
      </c>
      <c r="E64" t="s">
        <v>44</v>
      </c>
      <c r="F64">
        <v>9</v>
      </c>
      <c r="G64">
        <v>27</v>
      </c>
      <c r="H64" t="s">
        <v>61</v>
      </c>
      <c r="I64" t="s">
        <v>109</v>
      </c>
    </row>
    <row r="65" spans="1:9" x14ac:dyDescent="0.35">
      <c r="B65" t="s">
        <v>56</v>
      </c>
      <c r="C65" s="3">
        <v>46205</v>
      </c>
      <c r="D65" t="s">
        <v>93</v>
      </c>
      <c r="E65" t="s">
        <v>44</v>
      </c>
      <c r="F65">
        <v>9</v>
      </c>
      <c r="G65">
        <v>27</v>
      </c>
      <c r="H65" t="s">
        <v>55</v>
      </c>
      <c r="I65" t="s">
        <v>109</v>
      </c>
    </row>
    <row r="66" spans="1:9" x14ac:dyDescent="0.35">
      <c r="A66">
        <v>208376</v>
      </c>
      <c r="B66" t="s">
        <v>84</v>
      </c>
      <c r="C66" s="3">
        <v>46212</v>
      </c>
      <c r="D66" t="s">
        <v>93</v>
      </c>
      <c r="E66" t="s">
        <v>44</v>
      </c>
      <c r="F66">
        <v>2</v>
      </c>
      <c r="G66">
        <v>28</v>
      </c>
      <c r="H66" t="s">
        <v>83</v>
      </c>
      <c r="I66" t="s">
        <v>109</v>
      </c>
    </row>
    <row r="67" spans="1:9" x14ac:dyDescent="0.35">
      <c r="B67" t="s">
        <v>60</v>
      </c>
      <c r="C67" s="3">
        <v>46212</v>
      </c>
      <c r="D67" t="s">
        <v>93</v>
      </c>
      <c r="E67" t="s">
        <v>44</v>
      </c>
      <c r="F67">
        <v>4</v>
      </c>
      <c r="G67">
        <v>28</v>
      </c>
      <c r="H67" t="s">
        <v>59</v>
      </c>
      <c r="I67" t="s">
        <v>109</v>
      </c>
    </row>
    <row r="68" spans="1:9" x14ac:dyDescent="0.35">
      <c r="B68" t="s">
        <v>56</v>
      </c>
      <c r="C68" s="3">
        <v>46212</v>
      </c>
      <c r="D68" t="s">
        <v>93</v>
      </c>
      <c r="E68" t="s">
        <v>44</v>
      </c>
      <c r="F68">
        <v>7</v>
      </c>
      <c r="G68">
        <v>28</v>
      </c>
      <c r="H68" t="s">
        <v>55</v>
      </c>
      <c r="I68" t="s">
        <v>109</v>
      </c>
    </row>
    <row r="69" spans="1:9" x14ac:dyDescent="0.35">
      <c r="A69">
        <v>208377</v>
      </c>
      <c r="B69" t="s">
        <v>84</v>
      </c>
      <c r="C69" s="3">
        <v>46198</v>
      </c>
      <c r="D69" t="s">
        <v>93</v>
      </c>
      <c r="E69" t="s">
        <v>44</v>
      </c>
      <c r="F69">
        <v>2</v>
      </c>
      <c r="G69">
        <v>26</v>
      </c>
      <c r="H69" t="s">
        <v>83</v>
      </c>
      <c r="I69" t="s">
        <v>109</v>
      </c>
    </row>
    <row r="70" spans="1:9" x14ac:dyDescent="0.35">
      <c r="B70" t="s">
        <v>95</v>
      </c>
      <c r="C70" s="3">
        <v>46198</v>
      </c>
      <c r="D70" t="s">
        <v>93</v>
      </c>
      <c r="E70" t="s">
        <v>44</v>
      </c>
      <c r="F70">
        <v>1</v>
      </c>
      <c r="G70">
        <v>26</v>
      </c>
      <c r="H70" t="s">
        <v>94</v>
      </c>
      <c r="I70" t="s">
        <v>109</v>
      </c>
    </row>
    <row r="71" spans="1:9" x14ac:dyDescent="0.35">
      <c r="A71">
        <v>208380</v>
      </c>
      <c r="B71" t="s">
        <v>60</v>
      </c>
      <c r="C71" s="3">
        <v>46226</v>
      </c>
      <c r="D71" t="s">
        <v>93</v>
      </c>
      <c r="E71" t="s">
        <v>44</v>
      </c>
      <c r="F71">
        <v>4</v>
      </c>
      <c r="G71">
        <v>30</v>
      </c>
      <c r="H71" t="s">
        <v>59</v>
      </c>
      <c r="I71" t="s">
        <v>109</v>
      </c>
    </row>
    <row r="72" spans="1:9" x14ac:dyDescent="0.35">
      <c r="A72">
        <v>208383</v>
      </c>
      <c r="B72" t="s">
        <v>102</v>
      </c>
      <c r="C72" s="3">
        <v>46219</v>
      </c>
      <c r="D72" t="s">
        <v>93</v>
      </c>
      <c r="E72" t="s">
        <v>44</v>
      </c>
      <c r="F72">
        <v>1</v>
      </c>
      <c r="G72">
        <v>29</v>
      </c>
      <c r="H72" t="s">
        <v>101</v>
      </c>
      <c r="I72" t="s">
        <v>109</v>
      </c>
    </row>
    <row r="73" spans="1:9" x14ac:dyDescent="0.35">
      <c r="B73" t="s">
        <v>54</v>
      </c>
      <c r="C73" s="3">
        <v>46219</v>
      </c>
      <c r="D73" t="s">
        <v>93</v>
      </c>
      <c r="E73" t="s">
        <v>44</v>
      </c>
      <c r="F73">
        <v>2</v>
      </c>
      <c r="G73">
        <v>29</v>
      </c>
      <c r="H73" t="s">
        <v>53</v>
      </c>
      <c r="I73" t="s">
        <v>109</v>
      </c>
    </row>
    <row r="74" spans="1:9" x14ac:dyDescent="0.35">
      <c r="B74" t="s">
        <v>84</v>
      </c>
      <c r="C74" s="3">
        <v>46219</v>
      </c>
      <c r="D74" t="s">
        <v>93</v>
      </c>
      <c r="E74" t="s">
        <v>44</v>
      </c>
      <c r="F74">
        <v>3</v>
      </c>
      <c r="G74">
        <v>29</v>
      </c>
      <c r="H74" t="s">
        <v>83</v>
      </c>
      <c r="I74" t="s">
        <v>109</v>
      </c>
    </row>
    <row r="75" spans="1:9" x14ac:dyDescent="0.35">
      <c r="B75" t="s">
        <v>60</v>
      </c>
      <c r="C75" s="3">
        <v>46219</v>
      </c>
      <c r="D75" t="s">
        <v>93</v>
      </c>
      <c r="E75" t="s">
        <v>44</v>
      </c>
      <c r="F75">
        <v>4</v>
      </c>
      <c r="G75">
        <v>29</v>
      </c>
      <c r="H75" t="s">
        <v>59</v>
      </c>
      <c r="I75" t="s">
        <v>109</v>
      </c>
    </row>
    <row r="76" spans="1:9" x14ac:dyDescent="0.35">
      <c r="B76" t="s">
        <v>62</v>
      </c>
      <c r="C76" s="3">
        <v>46219</v>
      </c>
      <c r="D76" t="s">
        <v>93</v>
      </c>
      <c r="E76" t="s">
        <v>44</v>
      </c>
      <c r="F76">
        <v>9</v>
      </c>
      <c r="G76">
        <v>29</v>
      </c>
      <c r="H76" t="s">
        <v>61</v>
      </c>
      <c r="I76" t="s">
        <v>109</v>
      </c>
    </row>
    <row r="77" spans="1:9" x14ac:dyDescent="0.35">
      <c r="B77" t="s">
        <v>95</v>
      </c>
      <c r="C77" s="3">
        <v>46219</v>
      </c>
      <c r="D77" t="s">
        <v>93</v>
      </c>
      <c r="E77" t="s">
        <v>44</v>
      </c>
      <c r="F77">
        <v>1</v>
      </c>
      <c r="G77">
        <v>29</v>
      </c>
      <c r="H77" t="s">
        <v>94</v>
      </c>
      <c r="I77" t="s">
        <v>109</v>
      </c>
    </row>
    <row r="78" spans="1:9" x14ac:dyDescent="0.35">
      <c r="B78" s="10" t="s">
        <v>32</v>
      </c>
      <c r="C78" s="3">
        <v>46219</v>
      </c>
      <c r="D78" t="s">
        <v>93</v>
      </c>
      <c r="E78" t="s">
        <v>33</v>
      </c>
      <c r="F78">
        <v>2</v>
      </c>
      <c r="G78">
        <v>29</v>
      </c>
      <c r="H78" t="s">
        <v>30</v>
      </c>
      <c r="I78" t="s">
        <v>110</v>
      </c>
    </row>
    <row r="79" spans="1:9" x14ac:dyDescent="0.35">
      <c r="B79" t="s">
        <v>56</v>
      </c>
      <c r="C79" s="3">
        <v>46219</v>
      </c>
      <c r="D79" t="s">
        <v>93</v>
      </c>
      <c r="E79" t="s">
        <v>44</v>
      </c>
      <c r="F79">
        <v>7</v>
      </c>
      <c r="G79">
        <v>29</v>
      </c>
      <c r="H79" t="s">
        <v>55</v>
      </c>
      <c r="I79" t="s">
        <v>109</v>
      </c>
    </row>
    <row r="80" spans="1:9" x14ac:dyDescent="0.35">
      <c r="A80">
        <v>208708</v>
      </c>
      <c r="B80" t="s">
        <v>72</v>
      </c>
      <c r="C80" s="3">
        <v>46233</v>
      </c>
      <c r="D80" t="s">
        <v>45</v>
      </c>
      <c r="E80" t="s">
        <v>44</v>
      </c>
      <c r="F80">
        <v>464</v>
      </c>
      <c r="G80">
        <v>31</v>
      </c>
      <c r="H80" t="s">
        <v>71</v>
      </c>
      <c r="I80" t="s">
        <v>109</v>
      </c>
    </row>
    <row r="81" spans="1:9" x14ac:dyDescent="0.35">
      <c r="A81">
        <v>208765</v>
      </c>
      <c r="B81" t="s">
        <v>32</v>
      </c>
      <c r="C81" s="3">
        <v>46233</v>
      </c>
      <c r="D81" t="s">
        <v>93</v>
      </c>
      <c r="E81" t="s">
        <v>33</v>
      </c>
      <c r="F81">
        <v>2</v>
      </c>
      <c r="G81">
        <v>31</v>
      </c>
      <c r="H81" t="s">
        <v>30</v>
      </c>
      <c r="I81" t="s">
        <v>110</v>
      </c>
    </row>
    <row r="82" spans="1:9" x14ac:dyDescent="0.35">
      <c r="B82" t="s">
        <v>68</v>
      </c>
      <c r="C82" s="3">
        <v>46233</v>
      </c>
      <c r="D82" t="s">
        <v>93</v>
      </c>
      <c r="E82" t="s">
        <v>44</v>
      </c>
      <c r="F82">
        <v>2</v>
      </c>
      <c r="G82">
        <v>31</v>
      </c>
      <c r="H82" t="s">
        <v>67</v>
      </c>
      <c r="I82" t="s">
        <v>109</v>
      </c>
    </row>
    <row r="83" spans="1:9" x14ac:dyDescent="0.35">
      <c r="A83">
        <v>208766</v>
      </c>
      <c r="B83" t="s">
        <v>84</v>
      </c>
      <c r="C83" s="3">
        <v>46226</v>
      </c>
      <c r="D83" t="s">
        <v>93</v>
      </c>
      <c r="E83" t="s">
        <v>44</v>
      </c>
      <c r="F83">
        <v>2</v>
      </c>
      <c r="G83">
        <v>30</v>
      </c>
      <c r="H83" t="s">
        <v>83</v>
      </c>
      <c r="I83" t="s">
        <v>109</v>
      </c>
    </row>
    <row r="84" spans="1:9" x14ac:dyDescent="0.35">
      <c r="B84" t="s">
        <v>56</v>
      </c>
      <c r="C84" s="3">
        <v>46226</v>
      </c>
      <c r="D84" t="s">
        <v>93</v>
      </c>
      <c r="E84" t="s">
        <v>44</v>
      </c>
      <c r="F84">
        <v>5</v>
      </c>
      <c r="G84">
        <v>30</v>
      </c>
      <c r="H84" t="s">
        <v>55</v>
      </c>
      <c r="I84" t="s">
        <v>109</v>
      </c>
    </row>
    <row r="85" spans="1:9" x14ac:dyDescent="0.35">
      <c r="A85">
        <v>208770</v>
      </c>
      <c r="B85" t="s">
        <v>62</v>
      </c>
      <c r="C85" s="3">
        <v>46213</v>
      </c>
      <c r="D85" t="s">
        <v>93</v>
      </c>
      <c r="E85" t="s">
        <v>44</v>
      </c>
      <c r="F85">
        <v>7</v>
      </c>
      <c r="G85">
        <v>28</v>
      </c>
      <c r="H85" t="s">
        <v>61</v>
      </c>
      <c r="I85" t="s">
        <v>109</v>
      </c>
    </row>
    <row r="86" spans="1:9" x14ac:dyDescent="0.35">
      <c r="B86" t="s">
        <v>95</v>
      </c>
      <c r="C86" s="3">
        <v>46213</v>
      </c>
      <c r="D86" t="s">
        <v>93</v>
      </c>
      <c r="E86" t="s">
        <v>44</v>
      </c>
      <c r="F86">
        <v>1</v>
      </c>
      <c r="G86">
        <v>28</v>
      </c>
      <c r="H86" t="s">
        <v>94</v>
      </c>
      <c r="I86" t="s">
        <v>109</v>
      </c>
    </row>
    <row r="87" spans="1:9" x14ac:dyDescent="0.35">
      <c r="A87">
        <v>208771</v>
      </c>
      <c r="B87" t="s">
        <v>84</v>
      </c>
      <c r="C87" s="3">
        <v>46213</v>
      </c>
      <c r="D87" t="s">
        <v>93</v>
      </c>
      <c r="E87" t="s">
        <v>44</v>
      </c>
      <c r="F87">
        <v>2</v>
      </c>
      <c r="G87">
        <v>28</v>
      </c>
      <c r="H87" t="s">
        <v>83</v>
      </c>
      <c r="I87" t="s">
        <v>109</v>
      </c>
    </row>
    <row r="88" spans="1:9" x14ac:dyDescent="0.35">
      <c r="A88">
        <v>209171</v>
      </c>
      <c r="B88" t="s">
        <v>95</v>
      </c>
      <c r="C88" s="3">
        <v>46212</v>
      </c>
      <c r="D88" t="s">
        <v>93</v>
      </c>
      <c r="E88" t="s">
        <v>44</v>
      </c>
      <c r="F88">
        <v>1</v>
      </c>
      <c r="G88">
        <v>28</v>
      </c>
      <c r="H88" t="s">
        <v>94</v>
      </c>
      <c r="I88" t="s">
        <v>109</v>
      </c>
    </row>
    <row r="89" spans="1:9" x14ac:dyDescent="0.35">
      <c r="A89">
        <v>209172</v>
      </c>
      <c r="B89" t="s">
        <v>54</v>
      </c>
      <c r="C89" s="3">
        <v>46233</v>
      </c>
      <c r="D89" t="s">
        <v>93</v>
      </c>
      <c r="E89" t="s">
        <v>44</v>
      </c>
      <c r="F89">
        <v>2</v>
      </c>
      <c r="G89">
        <v>31</v>
      </c>
      <c r="H89" t="s">
        <v>53</v>
      </c>
      <c r="I89" t="s">
        <v>109</v>
      </c>
    </row>
    <row r="90" spans="1:9" x14ac:dyDescent="0.35">
      <c r="B90" t="s">
        <v>56</v>
      </c>
      <c r="C90" s="3">
        <v>46233</v>
      </c>
      <c r="D90" t="s">
        <v>93</v>
      </c>
      <c r="E90" t="s">
        <v>44</v>
      </c>
      <c r="F90">
        <v>6</v>
      </c>
      <c r="G90">
        <v>31</v>
      </c>
      <c r="H90" t="s">
        <v>55</v>
      </c>
      <c r="I90" t="s">
        <v>109</v>
      </c>
    </row>
    <row r="91" spans="1:9" x14ac:dyDescent="0.35">
      <c r="A91">
        <v>209178</v>
      </c>
      <c r="B91" t="s">
        <v>72</v>
      </c>
      <c r="C91" s="3">
        <v>46240</v>
      </c>
      <c r="D91" t="s">
        <v>45</v>
      </c>
      <c r="E91" t="s">
        <v>44</v>
      </c>
      <c r="F91">
        <v>300</v>
      </c>
      <c r="G91">
        <v>32</v>
      </c>
      <c r="H91" t="s">
        <v>71</v>
      </c>
      <c r="I91" t="s">
        <v>113</v>
      </c>
    </row>
    <row r="92" spans="1:9" x14ac:dyDescent="0.35">
      <c r="A92">
        <v>209179</v>
      </c>
      <c r="B92" t="s">
        <v>72</v>
      </c>
      <c r="C92" s="3">
        <v>46233</v>
      </c>
      <c r="D92" t="s">
        <v>34</v>
      </c>
      <c r="E92" t="s">
        <v>44</v>
      </c>
      <c r="F92">
        <v>300</v>
      </c>
      <c r="G92">
        <v>31</v>
      </c>
      <c r="H92" t="s">
        <v>71</v>
      </c>
      <c r="I92" t="s">
        <v>109</v>
      </c>
    </row>
    <row r="93" spans="1:9" x14ac:dyDescent="0.35">
      <c r="A93">
        <v>209216</v>
      </c>
      <c r="B93" t="s">
        <v>52</v>
      </c>
      <c r="C93" s="3">
        <v>46226</v>
      </c>
      <c r="D93" t="s">
        <v>96</v>
      </c>
      <c r="E93" t="s">
        <v>44</v>
      </c>
      <c r="F93">
        <v>2</v>
      </c>
      <c r="G93">
        <v>30</v>
      </c>
      <c r="H93" t="s">
        <v>51</v>
      </c>
      <c r="I93" t="s">
        <v>109</v>
      </c>
    </row>
    <row r="94" spans="1:9" x14ac:dyDescent="0.35">
      <c r="B94" t="s">
        <v>84</v>
      </c>
      <c r="C94" s="3">
        <v>46226</v>
      </c>
      <c r="D94" t="s">
        <v>96</v>
      </c>
      <c r="E94" t="s">
        <v>44</v>
      </c>
      <c r="F94">
        <v>2</v>
      </c>
      <c r="G94">
        <v>30</v>
      </c>
      <c r="H94" t="s">
        <v>83</v>
      </c>
      <c r="I94" t="s">
        <v>109</v>
      </c>
    </row>
    <row r="95" spans="1:9" x14ac:dyDescent="0.35">
      <c r="B95" t="s">
        <v>62</v>
      </c>
      <c r="C95" s="3">
        <v>46226</v>
      </c>
      <c r="D95" t="s">
        <v>96</v>
      </c>
      <c r="E95" t="s">
        <v>44</v>
      </c>
      <c r="F95">
        <v>3</v>
      </c>
      <c r="G95">
        <v>30</v>
      </c>
      <c r="H95" t="s">
        <v>61</v>
      </c>
      <c r="I95" t="s">
        <v>109</v>
      </c>
    </row>
    <row r="96" spans="1:9" x14ac:dyDescent="0.35">
      <c r="B96" t="s">
        <v>98</v>
      </c>
      <c r="C96" s="3">
        <v>46226</v>
      </c>
      <c r="D96" t="s">
        <v>96</v>
      </c>
      <c r="E96" t="s">
        <v>44</v>
      </c>
      <c r="F96">
        <v>2</v>
      </c>
      <c r="G96">
        <v>30</v>
      </c>
      <c r="H96" t="s">
        <v>97</v>
      </c>
      <c r="I96" t="s">
        <v>109</v>
      </c>
    </row>
    <row r="97" spans="1:9" x14ac:dyDescent="0.35">
      <c r="A97">
        <v>209217</v>
      </c>
      <c r="B97" t="s">
        <v>52</v>
      </c>
      <c r="C97" s="3">
        <v>46233</v>
      </c>
      <c r="D97" t="s">
        <v>96</v>
      </c>
      <c r="E97" t="s">
        <v>44</v>
      </c>
      <c r="F97">
        <v>2</v>
      </c>
      <c r="G97">
        <v>31</v>
      </c>
      <c r="H97" t="s">
        <v>51</v>
      </c>
      <c r="I97" t="s">
        <v>109</v>
      </c>
    </row>
    <row r="98" spans="1:9" x14ac:dyDescent="0.35">
      <c r="B98" t="s">
        <v>82</v>
      </c>
      <c r="C98" s="3">
        <v>46233</v>
      </c>
      <c r="D98" t="s">
        <v>96</v>
      </c>
      <c r="E98" t="s">
        <v>44</v>
      </c>
      <c r="F98">
        <v>2</v>
      </c>
      <c r="G98">
        <v>31</v>
      </c>
      <c r="H98" t="s">
        <v>81</v>
      </c>
      <c r="I98" t="s">
        <v>109</v>
      </c>
    </row>
    <row r="99" spans="1:9" x14ac:dyDescent="0.35">
      <c r="B99" t="s">
        <v>62</v>
      </c>
      <c r="C99" s="3">
        <v>46233</v>
      </c>
      <c r="D99" t="s">
        <v>96</v>
      </c>
      <c r="E99" t="s">
        <v>44</v>
      </c>
      <c r="F99">
        <v>3</v>
      </c>
      <c r="G99">
        <v>31</v>
      </c>
      <c r="H99" t="s">
        <v>61</v>
      </c>
      <c r="I99" t="s">
        <v>109</v>
      </c>
    </row>
    <row r="100" spans="1:9" x14ac:dyDescent="0.35">
      <c r="B100" t="s">
        <v>95</v>
      </c>
      <c r="C100" s="3">
        <v>46233</v>
      </c>
      <c r="D100" t="s">
        <v>96</v>
      </c>
      <c r="E100" t="s">
        <v>44</v>
      </c>
      <c r="F100">
        <v>1</v>
      </c>
      <c r="G100">
        <v>31</v>
      </c>
      <c r="H100" t="s">
        <v>94</v>
      </c>
      <c r="I100" t="s">
        <v>109</v>
      </c>
    </row>
    <row r="101" spans="1:9" x14ac:dyDescent="0.35">
      <c r="B101" t="s">
        <v>68</v>
      </c>
      <c r="C101" s="3">
        <v>46233</v>
      </c>
      <c r="D101" t="s">
        <v>96</v>
      </c>
      <c r="E101" t="s">
        <v>44</v>
      </c>
      <c r="F101">
        <v>1</v>
      </c>
      <c r="G101">
        <v>31</v>
      </c>
      <c r="H101" t="s">
        <v>67</v>
      </c>
      <c r="I101" t="s">
        <v>109</v>
      </c>
    </row>
    <row r="102" spans="1:9" x14ac:dyDescent="0.35">
      <c r="A102" s="16">
        <v>209218</v>
      </c>
      <c r="B102" s="16" t="s">
        <v>52</v>
      </c>
      <c r="C102" s="17">
        <v>46212</v>
      </c>
      <c r="D102" s="16" t="s">
        <v>96</v>
      </c>
      <c r="E102" s="16" t="s">
        <v>44</v>
      </c>
      <c r="F102" s="16">
        <v>2</v>
      </c>
      <c r="G102" s="16">
        <v>28</v>
      </c>
      <c r="H102" s="16" t="s">
        <v>51</v>
      </c>
      <c r="I102" s="16" t="s">
        <v>109</v>
      </c>
    </row>
    <row r="103" spans="1:9" x14ac:dyDescent="0.35">
      <c r="A103" s="16"/>
      <c r="B103" s="16" t="s">
        <v>62</v>
      </c>
      <c r="C103" s="17">
        <v>46212</v>
      </c>
      <c r="D103" s="16" t="s">
        <v>96</v>
      </c>
      <c r="E103" s="16" t="s">
        <v>44</v>
      </c>
      <c r="F103" s="16">
        <v>3</v>
      </c>
      <c r="G103" s="16">
        <v>28</v>
      </c>
      <c r="H103" s="16" t="s">
        <v>61</v>
      </c>
      <c r="I103" s="16" t="s">
        <v>109</v>
      </c>
    </row>
    <row r="104" spans="1:9" x14ac:dyDescent="0.35">
      <c r="A104" s="16"/>
      <c r="B104" s="16" t="s">
        <v>95</v>
      </c>
      <c r="C104" s="17">
        <v>46212</v>
      </c>
      <c r="D104" s="16" t="s">
        <v>96</v>
      </c>
      <c r="E104" s="16" t="s">
        <v>44</v>
      </c>
      <c r="F104" s="16">
        <v>1</v>
      </c>
      <c r="G104" s="16">
        <v>28</v>
      </c>
      <c r="H104" s="16" t="s">
        <v>94</v>
      </c>
      <c r="I104" s="16" t="s">
        <v>109</v>
      </c>
    </row>
    <row r="105" spans="1:9" x14ac:dyDescent="0.35">
      <c r="A105" s="16"/>
      <c r="B105" s="16" t="s">
        <v>98</v>
      </c>
      <c r="C105" s="17">
        <v>46212</v>
      </c>
      <c r="D105" s="16" t="s">
        <v>96</v>
      </c>
      <c r="E105" s="16" t="s">
        <v>44</v>
      </c>
      <c r="F105" s="16">
        <v>2</v>
      </c>
      <c r="G105" s="16">
        <v>28</v>
      </c>
      <c r="H105" s="16" t="s">
        <v>97</v>
      </c>
      <c r="I105" s="16" t="s">
        <v>109</v>
      </c>
    </row>
    <row r="106" spans="1:9" x14ac:dyDescent="0.35">
      <c r="A106" s="16">
        <v>209219</v>
      </c>
      <c r="B106" s="16" t="s">
        <v>52</v>
      </c>
      <c r="C106" s="17">
        <v>46219</v>
      </c>
      <c r="D106" s="16" t="s">
        <v>96</v>
      </c>
      <c r="E106" s="16" t="s">
        <v>44</v>
      </c>
      <c r="F106" s="16">
        <v>3</v>
      </c>
      <c r="G106" s="16">
        <v>29</v>
      </c>
      <c r="H106" s="16" t="s">
        <v>51</v>
      </c>
      <c r="I106" s="16" t="s">
        <v>109</v>
      </c>
    </row>
    <row r="107" spans="1:9" x14ac:dyDescent="0.35">
      <c r="A107" s="16"/>
      <c r="B107" s="16" t="s">
        <v>62</v>
      </c>
      <c r="C107" s="17">
        <v>46219</v>
      </c>
      <c r="D107" s="16" t="s">
        <v>96</v>
      </c>
      <c r="E107" s="16" t="s">
        <v>44</v>
      </c>
      <c r="F107" s="16">
        <v>3</v>
      </c>
      <c r="G107" s="16">
        <v>29</v>
      </c>
      <c r="H107" s="16" t="s">
        <v>61</v>
      </c>
      <c r="I107" s="16" t="s">
        <v>109</v>
      </c>
    </row>
    <row r="108" spans="1:9" x14ac:dyDescent="0.35">
      <c r="A108" s="16"/>
      <c r="B108" s="16" t="s">
        <v>98</v>
      </c>
      <c r="C108" s="17">
        <v>46219</v>
      </c>
      <c r="D108" s="16" t="s">
        <v>96</v>
      </c>
      <c r="E108" s="16" t="s">
        <v>44</v>
      </c>
      <c r="F108" s="16">
        <v>1</v>
      </c>
      <c r="G108" s="16">
        <v>29</v>
      </c>
      <c r="H108" s="16" t="s">
        <v>97</v>
      </c>
      <c r="I108" s="16" t="s">
        <v>109</v>
      </c>
    </row>
    <row r="109" spans="1:9" x14ac:dyDescent="0.35">
      <c r="A109">
        <v>209881</v>
      </c>
      <c r="B109" t="s">
        <v>100</v>
      </c>
      <c r="C109" s="3">
        <v>46219</v>
      </c>
      <c r="D109" t="s">
        <v>34</v>
      </c>
      <c r="E109" t="s">
        <v>44</v>
      </c>
      <c r="F109">
        <v>26</v>
      </c>
      <c r="G109">
        <v>29</v>
      </c>
      <c r="H109" t="s">
        <v>99</v>
      </c>
      <c r="I109" t="s">
        <v>111</v>
      </c>
    </row>
    <row r="110" spans="1:9" x14ac:dyDescent="0.35">
      <c r="A110">
        <v>209882</v>
      </c>
      <c r="B110" t="s">
        <v>100</v>
      </c>
      <c r="C110" s="3">
        <v>46247</v>
      </c>
      <c r="D110" t="s">
        <v>34</v>
      </c>
      <c r="E110" t="s">
        <v>44</v>
      </c>
      <c r="F110">
        <v>3</v>
      </c>
      <c r="G110">
        <v>33</v>
      </c>
      <c r="H110" t="s">
        <v>99</v>
      </c>
      <c r="I110" t="s">
        <v>109</v>
      </c>
    </row>
    <row r="111" spans="1:9" x14ac:dyDescent="0.35">
      <c r="A111">
        <v>209883</v>
      </c>
      <c r="B111" t="s">
        <v>100</v>
      </c>
      <c r="C111" s="3">
        <v>46226</v>
      </c>
      <c r="D111" t="s">
        <v>34</v>
      </c>
      <c r="E111" t="s">
        <v>44</v>
      </c>
      <c r="F111">
        <v>20</v>
      </c>
      <c r="G111">
        <v>30</v>
      </c>
      <c r="H111" t="s">
        <v>99</v>
      </c>
      <c r="I111" t="s">
        <v>111</v>
      </c>
    </row>
    <row r="112" spans="1:9" x14ac:dyDescent="0.35">
      <c r="A112">
        <v>209884</v>
      </c>
      <c r="B112" t="s">
        <v>92</v>
      </c>
      <c r="C112" s="3">
        <v>46240</v>
      </c>
      <c r="D112" t="s">
        <v>34</v>
      </c>
      <c r="E112" t="s">
        <v>33</v>
      </c>
      <c r="F112">
        <v>4</v>
      </c>
      <c r="G112">
        <v>32</v>
      </c>
      <c r="H112" t="s">
        <v>91</v>
      </c>
      <c r="I112" t="s">
        <v>109</v>
      </c>
    </row>
    <row r="113" spans="1:9" x14ac:dyDescent="0.35">
      <c r="A113">
        <v>209941</v>
      </c>
      <c r="B113" t="s">
        <v>62</v>
      </c>
      <c r="C113" s="3">
        <v>46240</v>
      </c>
      <c r="D113" t="s">
        <v>96</v>
      </c>
      <c r="E113" t="s">
        <v>44</v>
      </c>
      <c r="F113">
        <v>3</v>
      </c>
      <c r="G113">
        <v>32</v>
      </c>
      <c r="H113" t="s">
        <v>61</v>
      </c>
      <c r="I113" t="s">
        <v>109</v>
      </c>
    </row>
    <row r="114" spans="1:9" x14ac:dyDescent="0.35">
      <c r="B114" t="s">
        <v>68</v>
      </c>
      <c r="C114" s="3">
        <v>46240</v>
      </c>
      <c r="D114" t="s">
        <v>96</v>
      </c>
      <c r="E114" t="s">
        <v>44</v>
      </c>
      <c r="F114">
        <v>1</v>
      </c>
      <c r="G114">
        <v>32</v>
      </c>
      <c r="H114" t="s">
        <v>67</v>
      </c>
      <c r="I114" t="s">
        <v>109</v>
      </c>
    </row>
    <row r="115" spans="1:9" x14ac:dyDescent="0.35">
      <c r="A115">
        <v>209942</v>
      </c>
      <c r="B115" t="s">
        <v>62</v>
      </c>
      <c r="C115" s="3">
        <v>46226</v>
      </c>
      <c r="D115" t="s">
        <v>45</v>
      </c>
      <c r="E115" t="s">
        <v>44</v>
      </c>
      <c r="F115">
        <v>16</v>
      </c>
      <c r="G115">
        <v>30</v>
      </c>
      <c r="H115" t="s">
        <v>61</v>
      </c>
      <c r="I115" t="s">
        <v>109</v>
      </c>
    </row>
    <row r="116" spans="1:9" x14ac:dyDescent="0.35">
      <c r="A116">
        <v>209944</v>
      </c>
      <c r="B116" t="s">
        <v>62</v>
      </c>
      <c r="C116" s="3">
        <v>46233</v>
      </c>
      <c r="D116" t="s">
        <v>45</v>
      </c>
      <c r="E116" t="s">
        <v>44</v>
      </c>
      <c r="F116">
        <v>12</v>
      </c>
      <c r="G116">
        <v>31</v>
      </c>
      <c r="H116" t="s">
        <v>61</v>
      </c>
      <c r="I116" t="s">
        <v>109</v>
      </c>
    </row>
    <row r="117" spans="1:9" x14ac:dyDescent="0.35">
      <c r="A117">
        <v>209945</v>
      </c>
      <c r="B117" t="s">
        <v>56</v>
      </c>
      <c r="C117" s="3">
        <v>46240</v>
      </c>
      <c r="D117" t="s">
        <v>93</v>
      </c>
      <c r="E117" t="s">
        <v>44</v>
      </c>
      <c r="F117">
        <v>7</v>
      </c>
      <c r="G117">
        <v>32</v>
      </c>
      <c r="H117" t="s">
        <v>55</v>
      </c>
      <c r="I117" t="s">
        <v>109</v>
      </c>
    </row>
    <row r="118" spans="1:9" x14ac:dyDescent="0.35">
      <c r="A118">
        <v>209946</v>
      </c>
      <c r="B118" t="s">
        <v>84</v>
      </c>
      <c r="C118" s="3">
        <v>46240</v>
      </c>
      <c r="D118" t="s">
        <v>34</v>
      </c>
      <c r="E118" t="s">
        <v>44</v>
      </c>
      <c r="F118">
        <v>3</v>
      </c>
      <c r="G118">
        <v>32</v>
      </c>
      <c r="H118" t="s">
        <v>83</v>
      </c>
      <c r="I118" t="s">
        <v>109</v>
      </c>
    </row>
    <row r="119" spans="1:9" x14ac:dyDescent="0.35">
      <c r="B119" t="s">
        <v>60</v>
      </c>
      <c r="C119" s="3">
        <v>46240</v>
      </c>
      <c r="D119" t="s">
        <v>34</v>
      </c>
      <c r="E119" t="s">
        <v>44</v>
      </c>
      <c r="F119">
        <v>19</v>
      </c>
      <c r="G119">
        <v>32</v>
      </c>
      <c r="H119" t="s">
        <v>59</v>
      </c>
      <c r="I119" t="s">
        <v>109</v>
      </c>
    </row>
    <row r="120" spans="1:9" x14ac:dyDescent="0.35">
      <c r="B120" t="s">
        <v>86</v>
      </c>
      <c r="C120" s="3">
        <v>46240</v>
      </c>
      <c r="D120" t="s">
        <v>34</v>
      </c>
      <c r="E120" t="s">
        <v>33</v>
      </c>
      <c r="F120">
        <v>2</v>
      </c>
      <c r="G120">
        <v>32</v>
      </c>
      <c r="H120" t="s">
        <v>85</v>
      </c>
      <c r="I120" t="s">
        <v>109</v>
      </c>
    </row>
    <row r="121" spans="1:9" x14ac:dyDescent="0.35">
      <c r="B121" t="s">
        <v>58</v>
      </c>
      <c r="C121" s="3">
        <v>46240</v>
      </c>
      <c r="D121" t="s">
        <v>34</v>
      </c>
      <c r="E121" t="s">
        <v>44</v>
      </c>
      <c r="F121">
        <v>3</v>
      </c>
      <c r="G121">
        <v>32</v>
      </c>
      <c r="H121" t="s">
        <v>57</v>
      </c>
      <c r="I121" t="s">
        <v>109</v>
      </c>
    </row>
    <row r="122" spans="1:9" x14ac:dyDescent="0.35">
      <c r="A122">
        <v>209948</v>
      </c>
      <c r="B122" t="s">
        <v>52</v>
      </c>
      <c r="C122" s="3">
        <v>46240</v>
      </c>
      <c r="D122" t="s">
        <v>45</v>
      </c>
      <c r="E122" t="s">
        <v>44</v>
      </c>
      <c r="F122">
        <v>5</v>
      </c>
      <c r="G122">
        <v>32</v>
      </c>
      <c r="H122" t="s">
        <v>51</v>
      </c>
      <c r="I122" t="s">
        <v>113</v>
      </c>
    </row>
    <row r="123" spans="1:9" x14ac:dyDescent="0.35">
      <c r="B123" t="s">
        <v>60</v>
      </c>
      <c r="C123" s="3">
        <v>46240</v>
      </c>
      <c r="D123" t="s">
        <v>45</v>
      </c>
      <c r="E123" t="s">
        <v>44</v>
      </c>
      <c r="F123">
        <v>15</v>
      </c>
      <c r="G123">
        <v>32</v>
      </c>
      <c r="H123" t="s">
        <v>59</v>
      </c>
      <c r="I123" t="s">
        <v>113</v>
      </c>
    </row>
    <row r="124" spans="1:9" x14ac:dyDescent="0.35">
      <c r="B124" t="s">
        <v>62</v>
      </c>
      <c r="C124" s="3">
        <v>46240</v>
      </c>
      <c r="D124" t="s">
        <v>45</v>
      </c>
      <c r="E124" t="s">
        <v>44</v>
      </c>
      <c r="F124">
        <v>11</v>
      </c>
      <c r="G124">
        <v>32</v>
      </c>
      <c r="H124" t="s">
        <v>61</v>
      </c>
      <c r="I124" t="s">
        <v>113</v>
      </c>
    </row>
    <row r="125" spans="1:9" x14ac:dyDescent="0.35">
      <c r="A125">
        <v>209950</v>
      </c>
      <c r="B125" t="s">
        <v>84</v>
      </c>
      <c r="C125" s="3">
        <v>46226</v>
      </c>
      <c r="D125" t="s">
        <v>34</v>
      </c>
      <c r="E125" t="s">
        <v>44</v>
      </c>
      <c r="F125">
        <v>4</v>
      </c>
      <c r="G125">
        <v>30</v>
      </c>
      <c r="H125" t="s">
        <v>83</v>
      </c>
      <c r="I125" t="s">
        <v>109</v>
      </c>
    </row>
    <row r="126" spans="1:9" x14ac:dyDescent="0.35">
      <c r="B126" t="s">
        <v>86</v>
      </c>
      <c r="C126" s="3">
        <v>46226</v>
      </c>
      <c r="D126" t="s">
        <v>34</v>
      </c>
      <c r="E126" t="s">
        <v>33</v>
      </c>
      <c r="F126">
        <v>2</v>
      </c>
      <c r="G126">
        <v>30</v>
      </c>
      <c r="H126" t="s">
        <v>85</v>
      </c>
      <c r="I126" t="s">
        <v>109</v>
      </c>
    </row>
    <row r="127" spans="1:9" x14ac:dyDescent="0.35">
      <c r="A127">
        <v>209953</v>
      </c>
      <c r="B127" t="s">
        <v>58</v>
      </c>
      <c r="C127" s="3">
        <v>46219</v>
      </c>
      <c r="D127" t="s">
        <v>34</v>
      </c>
      <c r="E127" t="s">
        <v>44</v>
      </c>
      <c r="F127">
        <v>5</v>
      </c>
      <c r="G127">
        <v>29</v>
      </c>
      <c r="H127" t="s">
        <v>57</v>
      </c>
      <c r="I127" t="s">
        <v>109</v>
      </c>
    </row>
    <row r="128" spans="1:9" x14ac:dyDescent="0.35">
      <c r="A128">
        <v>210276</v>
      </c>
      <c r="B128" t="s">
        <v>72</v>
      </c>
      <c r="C128" s="3">
        <v>46254</v>
      </c>
      <c r="D128" t="s">
        <v>45</v>
      </c>
      <c r="E128" t="s">
        <v>44</v>
      </c>
      <c r="F128">
        <v>300</v>
      </c>
      <c r="G128">
        <v>34</v>
      </c>
      <c r="H128" t="s">
        <v>71</v>
      </c>
      <c r="I128" t="s">
        <v>113</v>
      </c>
    </row>
    <row r="129" spans="1:9" x14ac:dyDescent="0.35">
      <c r="A129">
        <v>210277</v>
      </c>
      <c r="B129" t="s">
        <v>92</v>
      </c>
      <c r="C129" s="3">
        <v>46247</v>
      </c>
      <c r="D129" t="s">
        <v>34</v>
      </c>
      <c r="E129" t="s">
        <v>33</v>
      </c>
      <c r="F129">
        <v>10</v>
      </c>
      <c r="G129">
        <v>33</v>
      </c>
      <c r="H129" t="s">
        <v>91</v>
      </c>
      <c r="I129" t="s">
        <v>109</v>
      </c>
    </row>
    <row r="130" spans="1:9" x14ac:dyDescent="0.35">
      <c r="A130">
        <v>210278</v>
      </c>
      <c r="B130" t="s">
        <v>92</v>
      </c>
      <c r="C130" s="3">
        <v>46226</v>
      </c>
      <c r="D130" t="s">
        <v>34</v>
      </c>
      <c r="E130" t="s">
        <v>33</v>
      </c>
      <c r="F130">
        <v>6</v>
      </c>
      <c r="G130">
        <v>30</v>
      </c>
      <c r="H130" t="s">
        <v>91</v>
      </c>
      <c r="I130" t="s">
        <v>109</v>
      </c>
    </row>
    <row r="131" spans="1:9" x14ac:dyDescent="0.35">
      <c r="A131">
        <v>210279</v>
      </c>
      <c r="B131" t="s">
        <v>78</v>
      </c>
      <c r="C131" s="3">
        <v>46240</v>
      </c>
      <c r="D131" t="s">
        <v>34</v>
      </c>
      <c r="E131" t="s">
        <v>44</v>
      </c>
      <c r="F131">
        <v>7</v>
      </c>
      <c r="G131">
        <v>32</v>
      </c>
      <c r="H131" t="s">
        <v>77</v>
      </c>
      <c r="I131" t="s">
        <v>109</v>
      </c>
    </row>
    <row r="132" spans="1:9" x14ac:dyDescent="0.35">
      <c r="B132" t="s">
        <v>52</v>
      </c>
      <c r="C132" s="3">
        <v>46240</v>
      </c>
      <c r="D132" t="s">
        <v>34</v>
      </c>
      <c r="E132" t="s">
        <v>44</v>
      </c>
      <c r="F132">
        <v>23</v>
      </c>
      <c r="G132">
        <v>32</v>
      </c>
      <c r="H132" t="s">
        <v>51</v>
      </c>
      <c r="I132" t="s">
        <v>109</v>
      </c>
    </row>
    <row r="133" spans="1:9" x14ac:dyDescent="0.35">
      <c r="B133" t="s">
        <v>88</v>
      </c>
      <c r="C133" s="3">
        <v>46240</v>
      </c>
      <c r="D133" t="s">
        <v>34</v>
      </c>
      <c r="E133" t="s">
        <v>44</v>
      </c>
      <c r="F133">
        <v>7</v>
      </c>
      <c r="G133">
        <v>32</v>
      </c>
      <c r="H133" t="s">
        <v>87</v>
      </c>
      <c r="I133" t="s">
        <v>109</v>
      </c>
    </row>
    <row r="134" spans="1:9" x14ac:dyDescent="0.35">
      <c r="B134" t="s">
        <v>104</v>
      </c>
      <c r="C134" s="3">
        <v>46240</v>
      </c>
      <c r="D134" t="s">
        <v>34</v>
      </c>
      <c r="E134" t="s">
        <v>44</v>
      </c>
      <c r="F134">
        <v>3</v>
      </c>
      <c r="G134">
        <v>32</v>
      </c>
      <c r="H134" t="s">
        <v>103</v>
      </c>
      <c r="I134" t="s">
        <v>109</v>
      </c>
    </row>
    <row r="135" spans="1:9" x14ac:dyDescent="0.35">
      <c r="B135" t="s">
        <v>68</v>
      </c>
      <c r="C135" s="3">
        <v>46240</v>
      </c>
      <c r="D135" t="s">
        <v>34</v>
      </c>
      <c r="E135" t="s">
        <v>44</v>
      </c>
      <c r="F135">
        <v>9</v>
      </c>
      <c r="G135">
        <v>32</v>
      </c>
      <c r="H135" t="s">
        <v>67</v>
      </c>
      <c r="I135" t="s">
        <v>109</v>
      </c>
    </row>
    <row r="136" spans="1:9" x14ac:dyDescent="0.35">
      <c r="A136">
        <v>210280</v>
      </c>
      <c r="B136" t="s">
        <v>82</v>
      </c>
      <c r="C136" s="3">
        <v>46247</v>
      </c>
      <c r="D136" t="s">
        <v>34</v>
      </c>
      <c r="E136" t="s">
        <v>44</v>
      </c>
      <c r="F136">
        <v>7</v>
      </c>
      <c r="G136">
        <v>33</v>
      </c>
      <c r="H136" t="s">
        <v>81</v>
      </c>
      <c r="I136" t="s">
        <v>109</v>
      </c>
    </row>
    <row r="137" spans="1:9" x14ac:dyDescent="0.35">
      <c r="B137" t="s">
        <v>84</v>
      </c>
      <c r="C137" s="3">
        <v>46247</v>
      </c>
      <c r="D137" t="s">
        <v>34</v>
      </c>
      <c r="E137" t="s">
        <v>44</v>
      </c>
      <c r="F137">
        <v>7</v>
      </c>
      <c r="G137">
        <v>33</v>
      </c>
      <c r="H137" t="s">
        <v>83</v>
      </c>
      <c r="I137" t="s">
        <v>109</v>
      </c>
    </row>
    <row r="138" spans="1:9" x14ac:dyDescent="0.35">
      <c r="B138" t="s">
        <v>60</v>
      </c>
      <c r="C138" s="3">
        <v>46247</v>
      </c>
      <c r="D138" t="s">
        <v>34</v>
      </c>
      <c r="E138" t="s">
        <v>44</v>
      </c>
      <c r="F138">
        <v>30</v>
      </c>
      <c r="G138">
        <v>33</v>
      </c>
      <c r="H138" t="s">
        <v>59</v>
      </c>
      <c r="I138" t="s">
        <v>109</v>
      </c>
    </row>
    <row r="139" spans="1:9" x14ac:dyDescent="0.35">
      <c r="B139" t="s">
        <v>62</v>
      </c>
      <c r="C139" s="3">
        <v>46247</v>
      </c>
      <c r="D139" t="s">
        <v>34</v>
      </c>
      <c r="E139" t="s">
        <v>44</v>
      </c>
      <c r="F139">
        <v>40</v>
      </c>
      <c r="G139">
        <v>33</v>
      </c>
      <c r="H139" t="s">
        <v>61</v>
      </c>
      <c r="I139" t="s">
        <v>109</v>
      </c>
    </row>
    <row r="140" spans="1:9" x14ac:dyDescent="0.35">
      <c r="B140" t="s">
        <v>86</v>
      </c>
      <c r="C140" s="3">
        <v>46247</v>
      </c>
      <c r="D140" t="s">
        <v>34</v>
      </c>
      <c r="E140" t="s">
        <v>33</v>
      </c>
      <c r="F140">
        <v>7</v>
      </c>
      <c r="G140">
        <v>33</v>
      </c>
      <c r="H140" t="s">
        <v>85</v>
      </c>
      <c r="I140" t="s">
        <v>109</v>
      </c>
    </row>
    <row r="141" spans="1:9" x14ac:dyDescent="0.35">
      <c r="A141">
        <v>210281</v>
      </c>
      <c r="B141" t="s">
        <v>78</v>
      </c>
      <c r="C141" s="3">
        <v>46226</v>
      </c>
      <c r="D141" t="s">
        <v>34</v>
      </c>
      <c r="E141" t="s">
        <v>44</v>
      </c>
      <c r="F141">
        <v>5</v>
      </c>
      <c r="G141">
        <v>30</v>
      </c>
      <c r="H141" t="s">
        <v>77</v>
      </c>
      <c r="I141" t="s">
        <v>109</v>
      </c>
    </row>
    <row r="142" spans="1:9" x14ac:dyDescent="0.35">
      <c r="B142" t="s">
        <v>88</v>
      </c>
      <c r="C142" s="3">
        <v>46226</v>
      </c>
      <c r="D142" t="s">
        <v>34</v>
      </c>
      <c r="E142" t="s">
        <v>44</v>
      </c>
      <c r="F142">
        <v>6</v>
      </c>
      <c r="G142">
        <v>30</v>
      </c>
      <c r="H142" t="s">
        <v>87</v>
      </c>
      <c r="I142" t="s">
        <v>109</v>
      </c>
    </row>
    <row r="143" spans="1:9" x14ac:dyDescent="0.35">
      <c r="A143">
        <v>210282</v>
      </c>
      <c r="B143" t="s">
        <v>82</v>
      </c>
      <c r="C143" s="3">
        <v>46233</v>
      </c>
      <c r="D143" t="s">
        <v>34</v>
      </c>
      <c r="E143" t="s">
        <v>44</v>
      </c>
      <c r="F143">
        <v>7</v>
      </c>
      <c r="G143">
        <v>31</v>
      </c>
      <c r="H143" t="s">
        <v>81</v>
      </c>
      <c r="I143" t="s">
        <v>109</v>
      </c>
    </row>
    <row r="144" spans="1:9" x14ac:dyDescent="0.35">
      <c r="B144" t="s">
        <v>86</v>
      </c>
      <c r="C144" s="3">
        <v>46233</v>
      </c>
      <c r="D144" t="s">
        <v>34</v>
      </c>
      <c r="E144" t="s">
        <v>33</v>
      </c>
      <c r="F144">
        <v>7</v>
      </c>
      <c r="G144">
        <v>31</v>
      </c>
      <c r="H144" t="s">
        <v>85</v>
      </c>
      <c r="I144" t="s">
        <v>109</v>
      </c>
    </row>
    <row r="145" spans="1:9" x14ac:dyDescent="0.35">
      <c r="B145" t="s">
        <v>58</v>
      </c>
      <c r="C145" s="3">
        <v>46233</v>
      </c>
      <c r="D145" t="s">
        <v>34</v>
      </c>
      <c r="E145" t="s">
        <v>44</v>
      </c>
      <c r="F145">
        <v>7</v>
      </c>
      <c r="G145">
        <v>31</v>
      </c>
      <c r="H145" t="s">
        <v>57</v>
      </c>
      <c r="I145" t="s">
        <v>110</v>
      </c>
    </row>
    <row r="146" spans="1:9" x14ac:dyDescent="0.35">
      <c r="A146">
        <v>210285</v>
      </c>
      <c r="B146" t="s">
        <v>92</v>
      </c>
      <c r="C146" s="3">
        <v>46240</v>
      </c>
      <c r="D146" t="s">
        <v>96</v>
      </c>
      <c r="E146" t="s">
        <v>33</v>
      </c>
      <c r="F146">
        <v>3</v>
      </c>
      <c r="G146">
        <v>32</v>
      </c>
      <c r="H146" t="s">
        <v>91</v>
      </c>
      <c r="I146" t="s">
        <v>109</v>
      </c>
    </row>
    <row r="147" spans="1:9" x14ac:dyDescent="0.35">
      <c r="A147">
        <v>210286</v>
      </c>
      <c r="B147" t="s">
        <v>92</v>
      </c>
      <c r="C147" s="3">
        <v>46226</v>
      </c>
      <c r="D147" t="s">
        <v>96</v>
      </c>
      <c r="E147" t="s">
        <v>33</v>
      </c>
      <c r="F147">
        <v>2</v>
      </c>
      <c r="G147">
        <v>30</v>
      </c>
      <c r="H147" t="s">
        <v>91</v>
      </c>
      <c r="I147" t="s">
        <v>109</v>
      </c>
    </row>
    <row r="148" spans="1:9" x14ac:dyDescent="0.35">
      <c r="A148">
        <v>210288</v>
      </c>
      <c r="B148" t="s">
        <v>72</v>
      </c>
      <c r="C148" s="3">
        <v>46240</v>
      </c>
      <c r="D148" t="s">
        <v>34</v>
      </c>
      <c r="E148" t="s">
        <v>44</v>
      </c>
      <c r="F148">
        <v>300</v>
      </c>
      <c r="G148">
        <v>32</v>
      </c>
      <c r="H148" t="s">
        <v>71</v>
      </c>
      <c r="I148" t="s">
        <v>109</v>
      </c>
    </row>
    <row r="149" spans="1:9" x14ac:dyDescent="0.35">
      <c r="A149">
        <v>210289</v>
      </c>
      <c r="B149" t="s">
        <v>84</v>
      </c>
      <c r="C149" s="3">
        <v>46247</v>
      </c>
      <c r="D149" t="s">
        <v>93</v>
      </c>
      <c r="E149" t="s">
        <v>44</v>
      </c>
      <c r="F149">
        <v>5</v>
      </c>
      <c r="G149">
        <v>33</v>
      </c>
      <c r="H149" t="s">
        <v>83</v>
      </c>
      <c r="I149" t="s">
        <v>109</v>
      </c>
    </row>
    <row r="150" spans="1:9" x14ac:dyDescent="0.35">
      <c r="B150" t="s">
        <v>60</v>
      </c>
      <c r="C150" s="3">
        <v>46247</v>
      </c>
      <c r="D150" t="s">
        <v>93</v>
      </c>
      <c r="E150" t="s">
        <v>44</v>
      </c>
      <c r="F150">
        <v>6</v>
      </c>
      <c r="G150">
        <v>33</v>
      </c>
      <c r="H150" t="s">
        <v>59</v>
      </c>
      <c r="I150" t="s">
        <v>109</v>
      </c>
    </row>
    <row r="151" spans="1:9" x14ac:dyDescent="0.35">
      <c r="B151" t="s">
        <v>62</v>
      </c>
      <c r="C151" s="3">
        <v>46247</v>
      </c>
      <c r="D151" t="s">
        <v>93</v>
      </c>
      <c r="E151" t="s">
        <v>44</v>
      </c>
      <c r="F151">
        <v>5</v>
      </c>
      <c r="G151">
        <v>33</v>
      </c>
      <c r="H151" t="s">
        <v>61</v>
      </c>
      <c r="I151" t="s">
        <v>109</v>
      </c>
    </row>
    <row r="152" spans="1:9" x14ac:dyDescent="0.35">
      <c r="B152" t="s">
        <v>56</v>
      </c>
      <c r="C152" s="3">
        <v>46247</v>
      </c>
      <c r="D152" t="s">
        <v>93</v>
      </c>
      <c r="E152" t="s">
        <v>44</v>
      </c>
      <c r="F152">
        <v>8</v>
      </c>
      <c r="G152">
        <v>33</v>
      </c>
      <c r="H152" t="s">
        <v>55</v>
      </c>
      <c r="I152" t="s">
        <v>109</v>
      </c>
    </row>
    <row r="153" spans="1:9" x14ac:dyDescent="0.35">
      <c r="B153" t="s">
        <v>88</v>
      </c>
      <c r="C153" s="3">
        <v>46247</v>
      </c>
      <c r="D153" t="s">
        <v>93</v>
      </c>
      <c r="E153" t="s">
        <v>44</v>
      </c>
      <c r="F153">
        <v>4</v>
      </c>
      <c r="G153">
        <v>33</v>
      </c>
      <c r="H153" t="s">
        <v>87</v>
      </c>
      <c r="I153" t="s">
        <v>109</v>
      </c>
    </row>
    <row r="154" spans="1:9" x14ac:dyDescent="0.35">
      <c r="B154" t="s">
        <v>68</v>
      </c>
      <c r="C154" s="3">
        <v>46247</v>
      </c>
      <c r="D154" t="s">
        <v>93</v>
      </c>
      <c r="E154" t="s">
        <v>44</v>
      </c>
      <c r="F154">
        <v>2</v>
      </c>
      <c r="G154">
        <v>33</v>
      </c>
      <c r="H154" t="s">
        <v>67</v>
      </c>
      <c r="I154" t="s">
        <v>109</v>
      </c>
    </row>
    <row r="155" spans="1:9" x14ac:dyDescent="0.35">
      <c r="A155">
        <v>210290</v>
      </c>
      <c r="B155" t="s">
        <v>84</v>
      </c>
      <c r="C155" s="3">
        <v>46240</v>
      </c>
      <c r="D155" t="s">
        <v>93</v>
      </c>
      <c r="E155" t="s">
        <v>44</v>
      </c>
      <c r="F155">
        <v>5</v>
      </c>
      <c r="G155">
        <v>32</v>
      </c>
      <c r="H155" t="s">
        <v>83</v>
      </c>
      <c r="I155" t="s">
        <v>109</v>
      </c>
    </row>
    <row r="156" spans="1:9" x14ac:dyDescent="0.35">
      <c r="B156" t="s">
        <v>60</v>
      </c>
      <c r="C156" s="3">
        <v>46240</v>
      </c>
      <c r="D156" t="s">
        <v>93</v>
      </c>
      <c r="E156" t="s">
        <v>44</v>
      </c>
      <c r="F156">
        <v>6</v>
      </c>
      <c r="G156">
        <v>32</v>
      </c>
      <c r="H156" t="s">
        <v>59</v>
      </c>
      <c r="I156" t="s">
        <v>109</v>
      </c>
    </row>
    <row r="157" spans="1:9" x14ac:dyDescent="0.35">
      <c r="B157" t="s">
        <v>56</v>
      </c>
      <c r="C157" s="3">
        <v>46240</v>
      </c>
      <c r="D157" t="s">
        <v>93</v>
      </c>
      <c r="E157" t="s">
        <v>44</v>
      </c>
      <c r="F157">
        <v>6</v>
      </c>
      <c r="G157">
        <v>32</v>
      </c>
      <c r="H157" t="s">
        <v>55</v>
      </c>
      <c r="I157" t="s">
        <v>109</v>
      </c>
    </row>
    <row r="158" spans="1:9" x14ac:dyDescent="0.35">
      <c r="A158">
        <v>210291</v>
      </c>
      <c r="B158" t="s">
        <v>60</v>
      </c>
      <c r="C158" s="3">
        <v>46254</v>
      </c>
      <c r="D158" t="s">
        <v>93</v>
      </c>
      <c r="E158" t="s">
        <v>44</v>
      </c>
      <c r="F158">
        <v>6</v>
      </c>
      <c r="G158">
        <v>34</v>
      </c>
      <c r="H158" t="s">
        <v>59</v>
      </c>
      <c r="I158" t="s">
        <v>109</v>
      </c>
    </row>
    <row r="159" spans="1:9" x14ac:dyDescent="0.35">
      <c r="B159" t="s">
        <v>68</v>
      </c>
      <c r="C159" s="3">
        <v>46254</v>
      </c>
      <c r="D159" t="s">
        <v>93</v>
      </c>
      <c r="E159" t="s">
        <v>44</v>
      </c>
      <c r="F159">
        <v>2</v>
      </c>
      <c r="G159">
        <v>34</v>
      </c>
      <c r="H159" t="s">
        <v>67</v>
      </c>
      <c r="I159" t="s">
        <v>109</v>
      </c>
    </row>
    <row r="160" spans="1:9" x14ac:dyDescent="0.35">
      <c r="A160">
        <v>210292</v>
      </c>
      <c r="B160" t="s">
        <v>84</v>
      </c>
      <c r="C160" s="3">
        <v>46233</v>
      </c>
      <c r="D160" t="s">
        <v>93</v>
      </c>
      <c r="E160" t="s">
        <v>44</v>
      </c>
      <c r="F160">
        <v>3</v>
      </c>
      <c r="G160">
        <v>31</v>
      </c>
      <c r="H160" t="s">
        <v>83</v>
      </c>
      <c r="I160" t="s">
        <v>109</v>
      </c>
    </row>
    <row r="161" spans="1:9" x14ac:dyDescent="0.35">
      <c r="B161" t="s">
        <v>60</v>
      </c>
      <c r="C161" s="3">
        <v>46233</v>
      </c>
      <c r="D161" t="s">
        <v>93</v>
      </c>
      <c r="E161" t="s">
        <v>44</v>
      </c>
      <c r="F161">
        <v>7</v>
      </c>
      <c r="G161">
        <v>31</v>
      </c>
      <c r="H161" t="s">
        <v>59</v>
      </c>
      <c r="I161" t="s">
        <v>109</v>
      </c>
    </row>
    <row r="162" spans="1:9" x14ac:dyDescent="0.35">
      <c r="A162">
        <v>210293</v>
      </c>
      <c r="B162" t="s">
        <v>60</v>
      </c>
      <c r="C162" s="3">
        <v>46240</v>
      </c>
      <c r="D162" t="s">
        <v>96</v>
      </c>
      <c r="E162" t="s">
        <v>44</v>
      </c>
      <c r="F162">
        <v>5</v>
      </c>
      <c r="G162">
        <v>32</v>
      </c>
      <c r="H162" t="s">
        <v>59</v>
      </c>
      <c r="I162" t="s">
        <v>109</v>
      </c>
    </row>
    <row r="163" spans="1:9" x14ac:dyDescent="0.35">
      <c r="B163" t="s">
        <v>86</v>
      </c>
      <c r="C163" s="3">
        <v>46240</v>
      </c>
      <c r="D163" t="s">
        <v>96</v>
      </c>
      <c r="E163" t="s">
        <v>33</v>
      </c>
      <c r="F163">
        <v>2</v>
      </c>
      <c r="G163">
        <v>32</v>
      </c>
      <c r="H163" t="s">
        <v>85</v>
      </c>
      <c r="I163" t="s">
        <v>109</v>
      </c>
    </row>
    <row r="164" spans="1:9" x14ac:dyDescent="0.35">
      <c r="B164" t="s">
        <v>88</v>
      </c>
      <c r="C164" s="3">
        <v>46240</v>
      </c>
      <c r="D164" t="s">
        <v>96</v>
      </c>
      <c r="E164" t="s">
        <v>44</v>
      </c>
      <c r="F164">
        <v>3</v>
      </c>
      <c r="G164">
        <v>32</v>
      </c>
      <c r="H164" t="s">
        <v>87</v>
      </c>
      <c r="I164" t="s">
        <v>109</v>
      </c>
    </row>
    <row r="165" spans="1:9" x14ac:dyDescent="0.35">
      <c r="B165" t="s">
        <v>104</v>
      </c>
      <c r="C165" s="3">
        <v>46240</v>
      </c>
      <c r="D165" t="s">
        <v>96</v>
      </c>
      <c r="E165" t="s">
        <v>44</v>
      </c>
      <c r="F165">
        <v>2</v>
      </c>
      <c r="G165">
        <v>32</v>
      </c>
      <c r="H165" t="s">
        <v>103</v>
      </c>
      <c r="I165" t="s">
        <v>109</v>
      </c>
    </row>
    <row r="166" spans="1:9" x14ac:dyDescent="0.35">
      <c r="B166" t="s">
        <v>58</v>
      </c>
      <c r="C166" s="3">
        <v>46240</v>
      </c>
      <c r="D166" t="s">
        <v>96</v>
      </c>
      <c r="E166" t="s">
        <v>44</v>
      </c>
      <c r="F166">
        <v>3</v>
      </c>
      <c r="G166">
        <v>32</v>
      </c>
      <c r="H166" t="s">
        <v>57</v>
      </c>
      <c r="I166" t="s">
        <v>109</v>
      </c>
    </row>
    <row r="167" spans="1:9" x14ac:dyDescent="0.35">
      <c r="A167">
        <v>210294</v>
      </c>
      <c r="B167" t="s">
        <v>78</v>
      </c>
      <c r="C167" s="3">
        <v>46247</v>
      </c>
      <c r="D167" t="s">
        <v>96</v>
      </c>
      <c r="E167" t="s">
        <v>44</v>
      </c>
      <c r="F167">
        <v>2</v>
      </c>
      <c r="G167">
        <v>33</v>
      </c>
      <c r="H167" t="s">
        <v>77</v>
      </c>
      <c r="I167" t="s">
        <v>109</v>
      </c>
    </row>
    <row r="168" spans="1:9" x14ac:dyDescent="0.35">
      <c r="B168" t="s">
        <v>52</v>
      </c>
      <c r="C168" s="3">
        <v>46247</v>
      </c>
      <c r="D168" t="s">
        <v>96</v>
      </c>
      <c r="E168" t="s">
        <v>44</v>
      </c>
      <c r="F168">
        <v>2</v>
      </c>
      <c r="G168">
        <v>33</v>
      </c>
      <c r="H168" t="s">
        <v>51</v>
      </c>
      <c r="I168" t="s">
        <v>109</v>
      </c>
    </row>
    <row r="169" spans="1:9" x14ac:dyDescent="0.35">
      <c r="B169" t="s">
        <v>60</v>
      </c>
      <c r="C169" s="3">
        <v>46247</v>
      </c>
      <c r="D169" t="s">
        <v>96</v>
      </c>
      <c r="E169" t="s">
        <v>44</v>
      </c>
      <c r="F169">
        <v>5</v>
      </c>
      <c r="G169">
        <v>33</v>
      </c>
      <c r="H169" t="s">
        <v>59</v>
      </c>
      <c r="I169" t="s">
        <v>109</v>
      </c>
    </row>
    <row r="170" spans="1:9" x14ac:dyDescent="0.35">
      <c r="B170" t="s">
        <v>62</v>
      </c>
      <c r="C170" s="3">
        <v>46247</v>
      </c>
      <c r="D170" t="s">
        <v>96</v>
      </c>
      <c r="E170" t="s">
        <v>44</v>
      </c>
      <c r="F170">
        <v>3</v>
      </c>
      <c r="G170">
        <v>33</v>
      </c>
      <c r="H170" t="s">
        <v>61</v>
      </c>
      <c r="I170" t="s">
        <v>109</v>
      </c>
    </row>
    <row r="171" spans="1:9" x14ac:dyDescent="0.35">
      <c r="B171" t="s">
        <v>56</v>
      </c>
      <c r="C171" s="3">
        <v>46247</v>
      </c>
      <c r="D171" t="s">
        <v>96</v>
      </c>
      <c r="E171" t="s">
        <v>44</v>
      </c>
      <c r="F171">
        <v>2</v>
      </c>
      <c r="G171">
        <v>33</v>
      </c>
      <c r="H171" t="s">
        <v>55</v>
      </c>
      <c r="I171" t="s">
        <v>109</v>
      </c>
    </row>
    <row r="172" spans="1:9" x14ac:dyDescent="0.35">
      <c r="B172" t="s">
        <v>90</v>
      </c>
      <c r="C172" s="3">
        <v>46247</v>
      </c>
      <c r="D172" t="s">
        <v>96</v>
      </c>
      <c r="E172" t="s">
        <v>44</v>
      </c>
      <c r="F172">
        <v>2</v>
      </c>
      <c r="G172">
        <v>33</v>
      </c>
      <c r="H172" t="s">
        <v>89</v>
      </c>
      <c r="I172" t="s">
        <v>109</v>
      </c>
    </row>
    <row r="173" spans="1:9" x14ac:dyDescent="0.35">
      <c r="B173" t="s">
        <v>68</v>
      </c>
      <c r="C173" s="3">
        <v>46247</v>
      </c>
      <c r="D173" t="s">
        <v>96</v>
      </c>
      <c r="E173" t="s">
        <v>44</v>
      </c>
      <c r="F173">
        <v>2</v>
      </c>
      <c r="G173">
        <v>33</v>
      </c>
      <c r="H173" t="s">
        <v>67</v>
      </c>
      <c r="I173" t="s">
        <v>109</v>
      </c>
    </row>
    <row r="174" spans="1:9" x14ac:dyDescent="0.35">
      <c r="A174">
        <v>210295</v>
      </c>
      <c r="B174" t="s">
        <v>60</v>
      </c>
      <c r="C174" s="3">
        <v>46233</v>
      </c>
      <c r="D174" t="s">
        <v>96</v>
      </c>
      <c r="E174" t="s">
        <v>44</v>
      </c>
      <c r="F174">
        <v>3</v>
      </c>
      <c r="G174">
        <v>31</v>
      </c>
      <c r="H174" t="s">
        <v>59</v>
      </c>
      <c r="I174" t="s">
        <v>109</v>
      </c>
    </row>
    <row r="175" spans="1:9" x14ac:dyDescent="0.35">
      <c r="B175" t="s">
        <v>86</v>
      </c>
      <c r="C175" s="3">
        <v>46233</v>
      </c>
      <c r="D175" t="s">
        <v>96</v>
      </c>
      <c r="E175" t="s">
        <v>33</v>
      </c>
      <c r="F175">
        <v>2</v>
      </c>
      <c r="G175">
        <v>31</v>
      </c>
      <c r="H175" t="s">
        <v>85</v>
      </c>
      <c r="I175" t="s">
        <v>109</v>
      </c>
    </row>
    <row r="176" spans="1:9" x14ac:dyDescent="0.35">
      <c r="B176" t="s">
        <v>56</v>
      </c>
      <c r="C176" s="3">
        <v>46233</v>
      </c>
      <c r="D176" t="s">
        <v>96</v>
      </c>
      <c r="E176" t="s">
        <v>44</v>
      </c>
      <c r="F176">
        <v>2</v>
      </c>
      <c r="G176">
        <v>31</v>
      </c>
      <c r="H176" t="s">
        <v>55</v>
      </c>
      <c r="I176" t="s">
        <v>109</v>
      </c>
    </row>
    <row r="177" spans="1:9" x14ac:dyDescent="0.35">
      <c r="A177">
        <v>210299</v>
      </c>
      <c r="B177" t="s">
        <v>72</v>
      </c>
      <c r="C177" s="3">
        <v>46247</v>
      </c>
      <c r="D177" t="s">
        <v>45</v>
      </c>
      <c r="E177" t="s">
        <v>44</v>
      </c>
      <c r="F177">
        <v>300</v>
      </c>
      <c r="G177">
        <v>33</v>
      </c>
      <c r="H177" t="s">
        <v>71</v>
      </c>
      <c r="I177" t="s">
        <v>113</v>
      </c>
    </row>
    <row r="178" spans="1:9" x14ac:dyDescent="0.35">
      <c r="B178" t="s">
        <v>106</v>
      </c>
      <c r="C178" s="3">
        <v>46247</v>
      </c>
      <c r="D178" t="s">
        <v>45</v>
      </c>
      <c r="E178" t="s">
        <v>44</v>
      </c>
      <c r="F178">
        <v>10</v>
      </c>
      <c r="G178">
        <v>33</v>
      </c>
      <c r="H178" t="s">
        <v>105</v>
      </c>
      <c r="I178" t="s">
        <v>113</v>
      </c>
    </row>
    <row r="179" spans="1:9" x14ac:dyDescent="0.35">
      <c r="A179">
        <v>210300</v>
      </c>
      <c r="B179" t="s">
        <v>52</v>
      </c>
      <c r="C179" s="3">
        <v>46247</v>
      </c>
      <c r="D179" t="s">
        <v>45</v>
      </c>
      <c r="E179" t="s">
        <v>44</v>
      </c>
      <c r="F179">
        <v>8</v>
      </c>
      <c r="G179">
        <v>33</v>
      </c>
      <c r="H179" t="s">
        <v>51</v>
      </c>
      <c r="I179" t="s">
        <v>113</v>
      </c>
    </row>
    <row r="180" spans="1:9" x14ac:dyDescent="0.35">
      <c r="B180" t="s">
        <v>60</v>
      </c>
      <c r="C180" s="3">
        <v>46247</v>
      </c>
      <c r="D180" t="s">
        <v>45</v>
      </c>
      <c r="E180" t="s">
        <v>44</v>
      </c>
      <c r="F180">
        <v>23</v>
      </c>
      <c r="G180">
        <v>33</v>
      </c>
      <c r="H180" t="s">
        <v>59</v>
      </c>
      <c r="I180" t="s">
        <v>113</v>
      </c>
    </row>
    <row r="181" spans="1:9" x14ac:dyDescent="0.35">
      <c r="B181" t="s">
        <v>62</v>
      </c>
      <c r="C181" s="3">
        <v>46247</v>
      </c>
      <c r="D181" t="s">
        <v>45</v>
      </c>
      <c r="E181" t="s">
        <v>44</v>
      </c>
      <c r="F181">
        <v>6</v>
      </c>
      <c r="G181">
        <v>33</v>
      </c>
      <c r="H181" t="s">
        <v>61</v>
      </c>
      <c r="I181" t="s">
        <v>113</v>
      </c>
    </row>
    <row r="182" spans="1:9" x14ac:dyDescent="0.35">
      <c r="A182">
        <v>210302</v>
      </c>
      <c r="B182" t="s">
        <v>32</v>
      </c>
      <c r="C182" s="3">
        <v>46254</v>
      </c>
      <c r="D182" t="s">
        <v>45</v>
      </c>
      <c r="E182" t="s">
        <v>33</v>
      </c>
      <c r="F182">
        <v>24</v>
      </c>
      <c r="G182">
        <v>34</v>
      </c>
      <c r="H182" t="s">
        <v>30</v>
      </c>
      <c r="I182" t="s">
        <v>113</v>
      </c>
    </row>
    <row r="183" spans="1:9" x14ac:dyDescent="0.35">
      <c r="A183">
        <v>210303</v>
      </c>
      <c r="B183" t="s">
        <v>52</v>
      </c>
      <c r="C183" s="3">
        <v>46240</v>
      </c>
      <c r="D183" t="s">
        <v>45</v>
      </c>
      <c r="E183" t="s">
        <v>44</v>
      </c>
      <c r="F183">
        <v>3</v>
      </c>
      <c r="G183">
        <v>32</v>
      </c>
      <c r="H183" t="s">
        <v>51</v>
      </c>
      <c r="I183" t="s">
        <v>113</v>
      </c>
    </row>
    <row r="184" spans="1:9" x14ac:dyDescent="0.35">
      <c r="B184" t="s">
        <v>56</v>
      </c>
      <c r="C184" s="3">
        <v>46240</v>
      </c>
      <c r="D184" t="s">
        <v>45</v>
      </c>
      <c r="E184" t="s">
        <v>44</v>
      </c>
      <c r="F184">
        <v>33</v>
      </c>
      <c r="G184">
        <v>32</v>
      </c>
      <c r="H184" t="s">
        <v>55</v>
      </c>
      <c r="I184" t="s">
        <v>113</v>
      </c>
    </row>
    <row r="185" spans="1:9" x14ac:dyDescent="0.35">
      <c r="A185">
        <v>210305</v>
      </c>
      <c r="B185" t="s">
        <v>84</v>
      </c>
      <c r="C185" s="3">
        <v>46233</v>
      </c>
      <c r="D185" t="s">
        <v>45</v>
      </c>
      <c r="E185" t="s">
        <v>44</v>
      </c>
      <c r="F185">
        <v>56</v>
      </c>
      <c r="G185">
        <v>31</v>
      </c>
      <c r="H185" t="s">
        <v>83</v>
      </c>
      <c r="I185" t="s">
        <v>109</v>
      </c>
    </row>
    <row r="186" spans="1:9" x14ac:dyDescent="0.35">
      <c r="A186">
        <v>210306</v>
      </c>
      <c r="B186" t="s">
        <v>76</v>
      </c>
      <c r="C186" s="3">
        <v>46233</v>
      </c>
      <c r="D186" t="s">
        <v>34</v>
      </c>
      <c r="E186" t="s">
        <v>33</v>
      </c>
      <c r="F186">
        <v>3</v>
      </c>
      <c r="G186">
        <v>31</v>
      </c>
      <c r="H186" t="s">
        <v>75</v>
      </c>
      <c r="I186" t="s">
        <v>109</v>
      </c>
    </row>
    <row r="187" spans="1:9" x14ac:dyDescent="0.35">
      <c r="A187">
        <v>210307</v>
      </c>
      <c r="B187" t="s">
        <v>80</v>
      </c>
      <c r="C187" s="3">
        <v>46247</v>
      </c>
      <c r="D187" t="s">
        <v>34</v>
      </c>
      <c r="E187" t="s">
        <v>33</v>
      </c>
      <c r="F187">
        <v>3</v>
      </c>
      <c r="G187">
        <v>33</v>
      </c>
      <c r="H187" t="s">
        <v>79</v>
      </c>
      <c r="I187" t="s">
        <v>109</v>
      </c>
    </row>
    <row r="188" spans="1:9" x14ac:dyDescent="0.35">
      <c r="B188" t="s">
        <v>76</v>
      </c>
      <c r="C188" s="3">
        <v>46247</v>
      </c>
      <c r="D188" t="s">
        <v>34</v>
      </c>
      <c r="E188" t="s">
        <v>33</v>
      </c>
      <c r="F188">
        <v>3</v>
      </c>
      <c r="G188">
        <v>33</v>
      </c>
      <c r="H188" t="s">
        <v>75</v>
      </c>
      <c r="I188" t="s">
        <v>109</v>
      </c>
    </row>
    <row r="189" spans="1:9" x14ac:dyDescent="0.35">
      <c r="A189" t="s">
        <v>107</v>
      </c>
      <c r="C189"/>
    </row>
    <row r="200" spans="10:10" x14ac:dyDescent="0.35">
      <c r="J200" s="4"/>
    </row>
  </sheetData>
  <autoFilter ref="A3:I189" xr:uid="{BD56DCC5-9274-45A8-9C73-343A7E021F09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C47-AEF8-4267-BEA4-7A8BF7213636}">
  <dimension ref="A1:H131"/>
  <sheetViews>
    <sheetView topLeftCell="A50" workbookViewId="0">
      <selection activeCell="J130" sqref="J129:J130"/>
    </sheetView>
  </sheetViews>
  <sheetFormatPr baseColWidth="10" defaultRowHeight="14.5" x14ac:dyDescent="0.35"/>
  <cols>
    <col min="1" max="1" width="7.54296875" bestFit="1" customWidth="1"/>
    <col min="2" max="2" width="46.08984375" bestFit="1" customWidth="1"/>
    <col min="3" max="3" width="13" style="12" bestFit="1" customWidth="1"/>
    <col min="4" max="4" width="30.6328125" bestFit="1" customWidth="1"/>
    <col min="5" max="5" width="5.36328125" bestFit="1" customWidth="1"/>
    <col min="7" max="7" width="11.90625" bestFit="1" customWidth="1"/>
    <col min="8" max="8" width="23.453125" bestFit="1" customWidth="1"/>
  </cols>
  <sheetData>
    <row r="1" spans="1:8" x14ac:dyDescent="0.35">
      <c r="A1" s="13" t="s">
        <v>1</v>
      </c>
      <c r="B1" s="13" t="s">
        <v>4</v>
      </c>
      <c r="C1" s="14" t="s">
        <v>0</v>
      </c>
      <c r="D1" s="13" t="s">
        <v>7</v>
      </c>
      <c r="E1" s="13" t="s">
        <v>5</v>
      </c>
      <c r="F1" s="13" t="s">
        <v>6</v>
      </c>
      <c r="G1" s="13" t="s">
        <v>108</v>
      </c>
      <c r="H1" s="13" t="s">
        <v>112</v>
      </c>
    </row>
    <row r="2" spans="1:8" x14ac:dyDescent="0.35">
      <c r="A2" s="2">
        <v>206528</v>
      </c>
      <c r="B2" t="s">
        <v>52</v>
      </c>
      <c r="C2" s="15">
        <v>46170</v>
      </c>
      <c r="D2" t="s">
        <v>45</v>
      </c>
      <c r="E2" s="12" t="s">
        <v>44</v>
      </c>
      <c r="F2" s="12">
        <v>11</v>
      </c>
      <c r="G2" s="12">
        <v>22</v>
      </c>
      <c r="H2" s="12" t="s">
        <v>109</v>
      </c>
    </row>
    <row r="3" spans="1:8" x14ac:dyDescent="0.35">
      <c r="A3" s="2"/>
      <c r="B3" t="s">
        <v>54</v>
      </c>
      <c r="C3" s="15">
        <v>46170</v>
      </c>
      <c r="D3" t="s">
        <v>45</v>
      </c>
      <c r="E3" s="12" t="s">
        <v>44</v>
      </c>
      <c r="F3" s="12">
        <v>10</v>
      </c>
      <c r="G3" s="12">
        <v>22</v>
      </c>
      <c r="H3" s="12" t="s">
        <v>109</v>
      </c>
    </row>
    <row r="4" spans="1:8" x14ac:dyDescent="0.35">
      <c r="A4" s="2"/>
      <c r="B4" t="s">
        <v>56</v>
      </c>
      <c r="C4" s="15">
        <v>46170</v>
      </c>
      <c r="D4" t="s">
        <v>45</v>
      </c>
      <c r="E4" s="12" t="s">
        <v>44</v>
      </c>
      <c r="F4" s="12">
        <v>25</v>
      </c>
      <c r="G4" s="12">
        <v>22</v>
      </c>
      <c r="H4" s="12" t="s">
        <v>109</v>
      </c>
    </row>
    <row r="5" spans="1:8" x14ac:dyDescent="0.35">
      <c r="A5" s="2"/>
      <c r="B5" t="s">
        <v>56</v>
      </c>
      <c r="C5" s="15">
        <v>46170</v>
      </c>
      <c r="D5" t="s">
        <v>45</v>
      </c>
      <c r="E5" s="12" t="s">
        <v>44</v>
      </c>
      <c r="F5" s="12">
        <v>121</v>
      </c>
      <c r="G5" s="12">
        <v>22</v>
      </c>
      <c r="H5" s="12" t="s">
        <v>109</v>
      </c>
    </row>
    <row r="6" spans="1:8" x14ac:dyDescent="0.35">
      <c r="A6" s="2"/>
      <c r="B6" t="s">
        <v>58</v>
      </c>
      <c r="C6" s="15">
        <v>46170</v>
      </c>
      <c r="D6" t="s">
        <v>45</v>
      </c>
      <c r="E6" s="12" t="s">
        <v>44</v>
      </c>
      <c r="F6" s="12">
        <v>30</v>
      </c>
      <c r="G6" s="12">
        <v>22</v>
      </c>
      <c r="H6" s="12" t="s">
        <v>109</v>
      </c>
    </row>
    <row r="7" spans="1:8" x14ac:dyDescent="0.35">
      <c r="A7" s="2"/>
      <c r="B7" t="s">
        <v>58</v>
      </c>
      <c r="C7" s="15">
        <v>46170</v>
      </c>
      <c r="D7" t="s">
        <v>45</v>
      </c>
      <c r="E7" s="12" t="s">
        <v>44</v>
      </c>
      <c r="F7" s="12">
        <v>40</v>
      </c>
      <c r="G7" s="12">
        <v>22</v>
      </c>
      <c r="H7" s="12" t="s">
        <v>109</v>
      </c>
    </row>
    <row r="8" spans="1:8" x14ac:dyDescent="0.35">
      <c r="A8" s="2">
        <v>208358</v>
      </c>
      <c r="B8" t="s">
        <v>72</v>
      </c>
      <c r="C8" s="15">
        <v>46226</v>
      </c>
      <c r="D8" t="s">
        <v>45</v>
      </c>
      <c r="E8" s="12" t="s">
        <v>44</v>
      </c>
      <c r="F8" s="12">
        <v>443</v>
      </c>
      <c r="G8" s="12">
        <v>30</v>
      </c>
      <c r="H8" s="12" t="s">
        <v>109</v>
      </c>
    </row>
    <row r="9" spans="1:8" x14ac:dyDescent="0.35">
      <c r="A9" s="2">
        <v>208375</v>
      </c>
      <c r="B9" t="s">
        <v>54</v>
      </c>
      <c r="C9" s="15">
        <v>46205</v>
      </c>
      <c r="D9" t="s">
        <v>93</v>
      </c>
      <c r="E9" s="12" t="s">
        <v>44</v>
      </c>
      <c r="F9" s="12">
        <v>3</v>
      </c>
      <c r="G9" s="12">
        <v>27</v>
      </c>
      <c r="H9" s="12" t="s">
        <v>109</v>
      </c>
    </row>
    <row r="10" spans="1:8" x14ac:dyDescent="0.35">
      <c r="A10" s="2"/>
      <c r="B10" t="s">
        <v>84</v>
      </c>
      <c r="C10" s="15">
        <v>46205</v>
      </c>
      <c r="D10" t="s">
        <v>93</v>
      </c>
      <c r="E10" s="12" t="s">
        <v>44</v>
      </c>
      <c r="F10" s="12">
        <v>3</v>
      </c>
      <c r="G10" s="12">
        <v>27</v>
      </c>
      <c r="H10" s="12" t="s">
        <v>109</v>
      </c>
    </row>
    <row r="11" spans="1:8" x14ac:dyDescent="0.35">
      <c r="A11" s="2"/>
      <c r="B11" t="s">
        <v>60</v>
      </c>
      <c r="C11" s="15">
        <v>46205</v>
      </c>
      <c r="D11" t="s">
        <v>93</v>
      </c>
      <c r="E11" s="12" t="s">
        <v>44</v>
      </c>
      <c r="F11" s="12">
        <v>5</v>
      </c>
      <c r="G11" s="12">
        <v>27</v>
      </c>
      <c r="H11" s="12" t="s">
        <v>109</v>
      </c>
    </row>
    <row r="12" spans="1:8" x14ac:dyDescent="0.35">
      <c r="A12" s="2"/>
      <c r="B12" t="s">
        <v>62</v>
      </c>
      <c r="C12" s="15">
        <v>46205</v>
      </c>
      <c r="D12" t="s">
        <v>93</v>
      </c>
      <c r="E12" s="12" t="s">
        <v>44</v>
      </c>
      <c r="F12" s="12">
        <v>9</v>
      </c>
      <c r="G12" s="12">
        <v>27</v>
      </c>
      <c r="H12" s="12" t="s">
        <v>109</v>
      </c>
    </row>
    <row r="13" spans="1:8" x14ac:dyDescent="0.35">
      <c r="A13" s="2"/>
      <c r="B13" t="s">
        <v>56</v>
      </c>
      <c r="C13" s="15">
        <v>46205</v>
      </c>
      <c r="D13" t="s">
        <v>93</v>
      </c>
      <c r="E13" s="12" t="s">
        <v>44</v>
      </c>
      <c r="F13" s="12">
        <v>9</v>
      </c>
      <c r="G13" s="12">
        <v>27</v>
      </c>
      <c r="H13" s="12" t="s">
        <v>109</v>
      </c>
    </row>
    <row r="14" spans="1:8" x14ac:dyDescent="0.35">
      <c r="A14" s="2">
        <v>208376</v>
      </c>
      <c r="B14" t="s">
        <v>84</v>
      </c>
      <c r="C14" s="15">
        <v>46212</v>
      </c>
      <c r="D14" t="s">
        <v>93</v>
      </c>
      <c r="E14" s="12" t="s">
        <v>44</v>
      </c>
      <c r="F14" s="12">
        <v>2</v>
      </c>
      <c r="G14" s="12">
        <v>28</v>
      </c>
      <c r="H14" s="12" t="s">
        <v>109</v>
      </c>
    </row>
    <row r="15" spans="1:8" x14ac:dyDescent="0.35">
      <c r="A15" s="2"/>
      <c r="B15" t="s">
        <v>60</v>
      </c>
      <c r="C15" s="15">
        <v>46212</v>
      </c>
      <c r="D15" t="s">
        <v>93</v>
      </c>
      <c r="E15" s="12" t="s">
        <v>44</v>
      </c>
      <c r="F15" s="12">
        <v>4</v>
      </c>
      <c r="G15" s="12">
        <v>28</v>
      </c>
      <c r="H15" s="12" t="s">
        <v>109</v>
      </c>
    </row>
    <row r="16" spans="1:8" x14ac:dyDescent="0.35">
      <c r="A16" s="2"/>
      <c r="B16" t="s">
        <v>56</v>
      </c>
      <c r="C16" s="15">
        <v>46212</v>
      </c>
      <c r="D16" t="s">
        <v>93</v>
      </c>
      <c r="E16" s="12" t="s">
        <v>44</v>
      </c>
      <c r="F16" s="12">
        <v>7</v>
      </c>
      <c r="G16" s="12">
        <v>28</v>
      </c>
      <c r="H16" s="12" t="s">
        <v>109</v>
      </c>
    </row>
    <row r="17" spans="1:8" x14ac:dyDescent="0.35">
      <c r="A17" s="2">
        <v>208377</v>
      </c>
      <c r="B17" t="s">
        <v>84</v>
      </c>
      <c r="C17" s="15">
        <v>46198</v>
      </c>
      <c r="D17" t="s">
        <v>93</v>
      </c>
      <c r="E17" s="12" t="s">
        <v>44</v>
      </c>
      <c r="F17" s="12">
        <v>2</v>
      </c>
      <c r="G17" s="12">
        <v>26</v>
      </c>
      <c r="H17" s="12" t="s">
        <v>109</v>
      </c>
    </row>
    <row r="18" spans="1:8" x14ac:dyDescent="0.35">
      <c r="A18" s="2"/>
      <c r="B18" t="s">
        <v>95</v>
      </c>
      <c r="C18" s="15">
        <v>46198</v>
      </c>
      <c r="D18" t="s">
        <v>93</v>
      </c>
      <c r="E18" s="12" t="s">
        <v>44</v>
      </c>
      <c r="F18" s="12">
        <v>1</v>
      </c>
      <c r="G18" s="12">
        <v>26</v>
      </c>
      <c r="H18" s="12" t="s">
        <v>109</v>
      </c>
    </row>
    <row r="19" spans="1:8" x14ac:dyDescent="0.35">
      <c r="A19" s="2">
        <v>208380</v>
      </c>
      <c r="B19" t="s">
        <v>60</v>
      </c>
      <c r="C19" s="15">
        <v>46226</v>
      </c>
      <c r="D19" t="s">
        <v>93</v>
      </c>
      <c r="E19" s="12" t="s">
        <v>44</v>
      </c>
      <c r="F19" s="12">
        <v>4</v>
      </c>
      <c r="G19" s="12">
        <v>30</v>
      </c>
      <c r="H19" s="12" t="s">
        <v>109</v>
      </c>
    </row>
    <row r="20" spans="1:8" x14ac:dyDescent="0.35">
      <c r="A20" s="2">
        <v>208383</v>
      </c>
      <c r="B20" t="s">
        <v>102</v>
      </c>
      <c r="C20" s="15">
        <v>46219</v>
      </c>
      <c r="D20" t="s">
        <v>93</v>
      </c>
      <c r="E20" s="12" t="s">
        <v>44</v>
      </c>
      <c r="F20" s="12">
        <v>1</v>
      </c>
      <c r="G20" s="12">
        <v>29</v>
      </c>
      <c r="H20" s="12" t="s">
        <v>109</v>
      </c>
    </row>
    <row r="21" spans="1:8" x14ac:dyDescent="0.35">
      <c r="A21" s="2"/>
      <c r="B21" t="s">
        <v>54</v>
      </c>
      <c r="C21" s="15">
        <v>46219</v>
      </c>
      <c r="D21" t="s">
        <v>93</v>
      </c>
      <c r="E21" s="12" t="s">
        <v>44</v>
      </c>
      <c r="F21" s="12">
        <v>2</v>
      </c>
      <c r="G21" s="12">
        <v>29</v>
      </c>
      <c r="H21" s="12" t="s">
        <v>109</v>
      </c>
    </row>
    <row r="22" spans="1:8" x14ac:dyDescent="0.35">
      <c r="A22" s="2"/>
      <c r="B22" t="s">
        <v>84</v>
      </c>
      <c r="C22" s="15">
        <v>46219</v>
      </c>
      <c r="D22" t="s">
        <v>93</v>
      </c>
      <c r="E22" s="12" t="s">
        <v>44</v>
      </c>
      <c r="F22" s="12">
        <v>3</v>
      </c>
      <c r="G22" s="12">
        <v>29</v>
      </c>
      <c r="H22" s="12" t="s">
        <v>109</v>
      </c>
    </row>
    <row r="23" spans="1:8" x14ac:dyDescent="0.35">
      <c r="A23" s="2"/>
      <c r="B23" t="s">
        <v>60</v>
      </c>
      <c r="C23" s="15">
        <v>46219</v>
      </c>
      <c r="D23" t="s">
        <v>93</v>
      </c>
      <c r="E23" s="12" t="s">
        <v>44</v>
      </c>
      <c r="F23" s="12">
        <v>4</v>
      </c>
      <c r="G23" s="12">
        <v>29</v>
      </c>
      <c r="H23" s="12" t="s">
        <v>109</v>
      </c>
    </row>
    <row r="24" spans="1:8" x14ac:dyDescent="0.35">
      <c r="A24" s="2"/>
      <c r="B24" t="s">
        <v>62</v>
      </c>
      <c r="C24" s="15">
        <v>46219</v>
      </c>
      <c r="D24" t="s">
        <v>93</v>
      </c>
      <c r="E24" s="12" t="s">
        <v>44</v>
      </c>
      <c r="F24" s="12">
        <v>9</v>
      </c>
      <c r="G24" s="12">
        <v>29</v>
      </c>
      <c r="H24" s="12" t="s">
        <v>109</v>
      </c>
    </row>
    <row r="25" spans="1:8" x14ac:dyDescent="0.35">
      <c r="A25" s="2"/>
      <c r="B25" t="s">
        <v>95</v>
      </c>
      <c r="C25" s="15">
        <v>46219</v>
      </c>
      <c r="D25" t="s">
        <v>93</v>
      </c>
      <c r="E25" s="12" t="s">
        <v>44</v>
      </c>
      <c r="F25" s="12">
        <v>1</v>
      </c>
      <c r="G25" s="12">
        <v>29</v>
      </c>
      <c r="H25" s="12" t="s">
        <v>109</v>
      </c>
    </row>
    <row r="26" spans="1:8" x14ac:dyDescent="0.35">
      <c r="A26" s="2"/>
      <c r="B26" t="s">
        <v>56</v>
      </c>
      <c r="C26" s="15">
        <v>46219</v>
      </c>
      <c r="D26" t="s">
        <v>93</v>
      </c>
      <c r="E26" s="12" t="s">
        <v>44</v>
      </c>
      <c r="F26" s="12">
        <v>7</v>
      </c>
      <c r="G26" s="12">
        <v>29</v>
      </c>
      <c r="H26" s="12" t="s">
        <v>109</v>
      </c>
    </row>
    <row r="27" spans="1:8" x14ac:dyDescent="0.35">
      <c r="A27" s="2">
        <v>208708</v>
      </c>
      <c r="B27" t="s">
        <v>72</v>
      </c>
      <c r="C27" s="15">
        <v>46233</v>
      </c>
      <c r="D27" t="s">
        <v>45</v>
      </c>
      <c r="E27" s="12" t="s">
        <v>44</v>
      </c>
      <c r="F27" s="12">
        <v>464</v>
      </c>
      <c r="G27" s="12">
        <v>31</v>
      </c>
      <c r="H27" s="12" t="s">
        <v>109</v>
      </c>
    </row>
    <row r="28" spans="1:8" x14ac:dyDescent="0.35">
      <c r="A28" s="2"/>
      <c r="B28" t="s">
        <v>68</v>
      </c>
      <c r="C28" s="15">
        <v>46233</v>
      </c>
      <c r="D28" t="s">
        <v>93</v>
      </c>
      <c r="E28" s="12" t="s">
        <v>44</v>
      </c>
      <c r="F28" s="12">
        <v>2</v>
      </c>
      <c r="G28" s="12">
        <v>31</v>
      </c>
      <c r="H28" s="12" t="s">
        <v>109</v>
      </c>
    </row>
    <row r="29" spans="1:8" x14ac:dyDescent="0.35">
      <c r="A29" s="2">
        <v>208766</v>
      </c>
      <c r="B29" t="s">
        <v>84</v>
      </c>
      <c r="C29" s="15">
        <v>46226</v>
      </c>
      <c r="D29" t="s">
        <v>93</v>
      </c>
      <c r="E29" s="12" t="s">
        <v>44</v>
      </c>
      <c r="F29" s="12">
        <v>2</v>
      </c>
      <c r="G29" s="12">
        <v>30</v>
      </c>
      <c r="H29" s="12" t="s">
        <v>109</v>
      </c>
    </row>
    <row r="30" spans="1:8" x14ac:dyDescent="0.35">
      <c r="A30" s="2"/>
      <c r="B30" t="s">
        <v>56</v>
      </c>
      <c r="C30" s="15">
        <v>46226</v>
      </c>
      <c r="D30" t="s">
        <v>93</v>
      </c>
      <c r="E30" s="12" t="s">
        <v>44</v>
      </c>
      <c r="F30" s="12">
        <v>5</v>
      </c>
      <c r="G30" s="12">
        <v>30</v>
      </c>
      <c r="H30" s="12" t="s">
        <v>109</v>
      </c>
    </row>
    <row r="31" spans="1:8" x14ac:dyDescent="0.35">
      <c r="A31" s="2">
        <v>208770</v>
      </c>
      <c r="B31" t="s">
        <v>62</v>
      </c>
      <c r="C31" s="15">
        <v>46213</v>
      </c>
      <c r="D31" t="s">
        <v>93</v>
      </c>
      <c r="E31" s="12" t="s">
        <v>44</v>
      </c>
      <c r="F31" s="12">
        <v>7</v>
      </c>
      <c r="G31" s="12">
        <v>28</v>
      </c>
      <c r="H31" s="12" t="s">
        <v>109</v>
      </c>
    </row>
    <row r="32" spans="1:8" x14ac:dyDescent="0.35">
      <c r="A32" s="2"/>
      <c r="B32" t="s">
        <v>95</v>
      </c>
      <c r="C32" s="15">
        <v>46213</v>
      </c>
      <c r="D32" t="s">
        <v>93</v>
      </c>
      <c r="E32" s="12" t="s">
        <v>44</v>
      </c>
      <c r="F32" s="12">
        <v>1</v>
      </c>
      <c r="G32" s="12">
        <v>28</v>
      </c>
      <c r="H32" s="12" t="s">
        <v>109</v>
      </c>
    </row>
    <row r="33" spans="1:8" x14ac:dyDescent="0.35">
      <c r="A33" s="2">
        <v>208771</v>
      </c>
      <c r="B33" t="s">
        <v>84</v>
      </c>
      <c r="C33" s="15">
        <v>46213</v>
      </c>
      <c r="D33" t="s">
        <v>93</v>
      </c>
      <c r="E33" s="12" t="s">
        <v>44</v>
      </c>
      <c r="F33" s="12">
        <v>2</v>
      </c>
      <c r="G33" s="12">
        <v>28</v>
      </c>
      <c r="H33" s="12" t="s">
        <v>109</v>
      </c>
    </row>
    <row r="34" spans="1:8" x14ac:dyDescent="0.35">
      <c r="A34" s="2">
        <v>209171</v>
      </c>
      <c r="B34" t="s">
        <v>95</v>
      </c>
      <c r="C34" s="15">
        <v>46212</v>
      </c>
      <c r="D34" t="s">
        <v>93</v>
      </c>
      <c r="E34" s="12" t="s">
        <v>44</v>
      </c>
      <c r="F34" s="12">
        <v>1</v>
      </c>
      <c r="G34" s="12">
        <v>28</v>
      </c>
      <c r="H34" s="12" t="s">
        <v>109</v>
      </c>
    </row>
    <row r="35" spans="1:8" x14ac:dyDescent="0.35">
      <c r="A35" s="2">
        <v>209172</v>
      </c>
      <c r="B35" t="s">
        <v>54</v>
      </c>
      <c r="C35" s="15">
        <v>46233</v>
      </c>
      <c r="D35" t="s">
        <v>93</v>
      </c>
      <c r="E35" s="12" t="s">
        <v>44</v>
      </c>
      <c r="F35" s="12">
        <v>2</v>
      </c>
      <c r="G35" s="12">
        <v>31</v>
      </c>
      <c r="H35" s="12" t="s">
        <v>109</v>
      </c>
    </row>
    <row r="36" spans="1:8" x14ac:dyDescent="0.35">
      <c r="A36" s="2"/>
      <c r="B36" t="s">
        <v>56</v>
      </c>
      <c r="C36" s="15">
        <v>46233</v>
      </c>
      <c r="D36" t="s">
        <v>93</v>
      </c>
      <c r="E36" s="12" t="s">
        <v>44</v>
      </c>
      <c r="F36" s="12">
        <v>6</v>
      </c>
      <c r="G36" s="12">
        <v>31</v>
      </c>
      <c r="H36" s="12" t="s">
        <v>109</v>
      </c>
    </row>
    <row r="37" spans="1:8" x14ac:dyDescent="0.35">
      <c r="A37" s="2">
        <v>209178</v>
      </c>
      <c r="B37" t="s">
        <v>72</v>
      </c>
      <c r="C37" s="15">
        <v>46240</v>
      </c>
      <c r="D37" t="s">
        <v>45</v>
      </c>
      <c r="E37" s="12" t="s">
        <v>44</v>
      </c>
      <c r="F37" s="12">
        <v>300</v>
      </c>
      <c r="G37" s="12">
        <v>32</v>
      </c>
      <c r="H37" s="12" t="s">
        <v>109</v>
      </c>
    </row>
    <row r="38" spans="1:8" x14ac:dyDescent="0.35">
      <c r="A38" s="2">
        <v>209179</v>
      </c>
      <c r="B38" t="s">
        <v>72</v>
      </c>
      <c r="C38" s="15">
        <v>46233</v>
      </c>
      <c r="D38" t="s">
        <v>34</v>
      </c>
      <c r="E38" s="12" t="s">
        <v>44</v>
      </c>
      <c r="F38" s="12">
        <v>300</v>
      </c>
      <c r="G38" s="12">
        <v>31</v>
      </c>
      <c r="H38" s="12" t="s">
        <v>109</v>
      </c>
    </row>
    <row r="39" spans="1:8" x14ac:dyDescent="0.35">
      <c r="A39" s="2">
        <v>209216</v>
      </c>
      <c r="B39" t="s">
        <v>52</v>
      </c>
      <c r="C39" s="15">
        <v>46226</v>
      </c>
      <c r="D39" t="s">
        <v>96</v>
      </c>
      <c r="E39" s="12" t="s">
        <v>44</v>
      </c>
      <c r="F39" s="12">
        <v>2</v>
      </c>
      <c r="G39" s="12">
        <v>30</v>
      </c>
      <c r="H39" s="12" t="s">
        <v>109</v>
      </c>
    </row>
    <row r="40" spans="1:8" x14ac:dyDescent="0.35">
      <c r="A40" s="2"/>
      <c r="B40" t="s">
        <v>84</v>
      </c>
      <c r="C40" s="15">
        <v>46226</v>
      </c>
      <c r="D40" t="s">
        <v>96</v>
      </c>
      <c r="E40" s="12" t="s">
        <v>44</v>
      </c>
      <c r="F40" s="12">
        <v>2</v>
      </c>
      <c r="G40" s="12">
        <v>30</v>
      </c>
      <c r="H40" s="12" t="s">
        <v>109</v>
      </c>
    </row>
    <row r="41" spans="1:8" x14ac:dyDescent="0.35">
      <c r="A41" s="2"/>
      <c r="B41" t="s">
        <v>62</v>
      </c>
      <c r="C41" s="15">
        <v>46226</v>
      </c>
      <c r="D41" t="s">
        <v>96</v>
      </c>
      <c r="E41" s="12" t="s">
        <v>44</v>
      </c>
      <c r="F41" s="12">
        <v>3</v>
      </c>
      <c r="G41" s="12">
        <v>30</v>
      </c>
      <c r="H41" s="12" t="s">
        <v>109</v>
      </c>
    </row>
    <row r="42" spans="1:8" x14ac:dyDescent="0.35">
      <c r="A42" s="2"/>
      <c r="B42" t="s">
        <v>98</v>
      </c>
      <c r="C42" s="15">
        <v>46226</v>
      </c>
      <c r="D42" t="s">
        <v>96</v>
      </c>
      <c r="E42" s="12" t="s">
        <v>44</v>
      </c>
      <c r="F42" s="12">
        <v>2</v>
      </c>
      <c r="G42" s="12">
        <v>30</v>
      </c>
      <c r="H42" s="12" t="s">
        <v>109</v>
      </c>
    </row>
    <row r="43" spans="1:8" x14ac:dyDescent="0.35">
      <c r="A43" s="2">
        <v>209217</v>
      </c>
      <c r="B43" t="s">
        <v>52</v>
      </c>
      <c r="C43" s="15">
        <v>46233</v>
      </c>
      <c r="D43" t="s">
        <v>96</v>
      </c>
      <c r="E43" s="12" t="s">
        <v>44</v>
      </c>
      <c r="F43" s="12">
        <v>2</v>
      </c>
      <c r="G43" s="12">
        <v>31</v>
      </c>
      <c r="H43" s="12" t="s">
        <v>109</v>
      </c>
    </row>
    <row r="44" spans="1:8" x14ac:dyDescent="0.35">
      <c r="A44" s="2"/>
      <c r="B44" t="s">
        <v>82</v>
      </c>
      <c r="C44" s="15">
        <v>46233</v>
      </c>
      <c r="D44" t="s">
        <v>96</v>
      </c>
      <c r="E44" s="12" t="s">
        <v>44</v>
      </c>
      <c r="F44" s="12">
        <v>2</v>
      </c>
      <c r="G44" s="12">
        <v>31</v>
      </c>
      <c r="H44" s="12" t="s">
        <v>109</v>
      </c>
    </row>
    <row r="45" spans="1:8" x14ac:dyDescent="0.35">
      <c r="A45" s="2"/>
      <c r="B45" t="s">
        <v>62</v>
      </c>
      <c r="C45" s="15">
        <v>46233</v>
      </c>
      <c r="D45" t="s">
        <v>96</v>
      </c>
      <c r="E45" s="12" t="s">
        <v>44</v>
      </c>
      <c r="F45" s="12">
        <v>3</v>
      </c>
      <c r="G45" s="12">
        <v>31</v>
      </c>
      <c r="H45" s="12" t="s">
        <v>109</v>
      </c>
    </row>
    <row r="46" spans="1:8" x14ac:dyDescent="0.35">
      <c r="A46" s="2"/>
      <c r="B46" t="s">
        <v>95</v>
      </c>
      <c r="C46" s="15">
        <v>46233</v>
      </c>
      <c r="D46" t="s">
        <v>96</v>
      </c>
      <c r="E46" s="12" t="s">
        <v>44</v>
      </c>
      <c r="F46" s="12">
        <v>1</v>
      </c>
      <c r="G46" s="12">
        <v>31</v>
      </c>
      <c r="H46" s="12" t="s">
        <v>109</v>
      </c>
    </row>
    <row r="47" spans="1:8" x14ac:dyDescent="0.35">
      <c r="A47" s="2"/>
      <c r="B47" t="s">
        <v>68</v>
      </c>
      <c r="C47" s="15">
        <v>46233</v>
      </c>
      <c r="D47" t="s">
        <v>96</v>
      </c>
      <c r="E47" s="12" t="s">
        <v>44</v>
      </c>
      <c r="F47" s="12">
        <v>1</v>
      </c>
      <c r="G47" s="12">
        <v>31</v>
      </c>
      <c r="H47" s="12" t="s">
        <v>109</v>
      </c>
    </row>
    <row r="48" spans="1:8" x14ac:dyDescent="0.35">
      <c r="A48" s="2">
        <v>209218</v>
      </c>
      <c r="B48" t="s">
        <v>52</v>
      </c>
      <c r="C48" s="15">
        <v>46212</v>
      </c>
      <c r="D48" t="s">
        <v>96</v>
      </c>
      <c r="E48" s="12" t="s">
        <v>44</v>
      </c>
      <c r="F48" s="12">
        <v>2</v>
      </c>
      <c r="G48" s="12">
        <v>28</v>
      </c>
      <c r="H48" s="12" t="s">
        <v>109</v>
      </c>
    </row>
    <row r="49" spans="1:8" x14ac:dyDescent="0.35">
      <c r="A49" s="2"/>
      <c r="B49" t="s">
        <v>62</v>
      </c>
      <c r="C49" s="15">
        <v>46212</v>
      </c>
      <c r="D49" t="s">
        <v>96</v>
      </c>
      <c r="E49" s="12" t="s">
        <v>44</v>
      </c>
      <c r="F49" s="12">
        <v>3</v>
      </c>
      <c r="G49" s="12">
        <v>28</v>
      </c>
      <c r="H49" s="12" t="s">
        <v>109</v>
      </c>
    </row>
    <row r="50" spans="1:8" x14ac:dyDescent="0.35">
      <c r="A50" s="2"/>
      <c r="B50" t="s">
        <v>95</v>
      </c>
      <c r="C50" s="15">
        <v>46212</v>
      </c>
      <c r="D50" t="s">
        <v>96</v>
      </c>
      <c r="E50" s="12" t="s">
        <v>44</v>
      </c>
      <c r="F50" s="12">
        <v>1</v>
      </c>
      <c r="G50" s="12">
        <v>28</v>
      </c>
      <c r="H50" s="12" t="s">
        <v>109</v>
      </c>
    </row>
    <row r="51" spans="1:8" x14ac:dyDescent="0.35">
      <c r="A51" s="2"/>
      <c r="B51" t="s">
        <v>98</v>
      </c>
      <c r="C51" s="15">
        <v>46212</v>
      </c>
      <c r="D51" t="s">
        <v>96</v>
      </c>
      <c r="E51" s="12" t="s">
        <v>44</v>
      </c>
      <c r="F51" s="12">
        <v>2</v>
      </c>
      <c r="G51" s="12">
        <v>28</v>
      </c>
      <c r="H51" s="12" t="s">
        <v>109</v>
      </c>
    </row>
    <row r="52" spans="1:8" x14ac:dyDescent="0.35">
      <c r="A52" s="2">
        <v>209219</v>
      </c>
      <c r="B52" t="s">
        <v>52</v>
      </c>
      <c r="C52" s="15">
        <v>46219</v>
      </c>
      <c r="D52" t="s">
        <v>96</v>
      </c>
      <c r="E52" s="12" t="s">
        <v>44</v>
      </c>
      <c r="F52" s="12">
        <v>3</v>
      </c>
      <c r="G52" s="12">
        <v>29</v>
      </c>
      <c r="H52" s="12" t="s">
        <v>109</v>
      </c>
    </row>
    <row r="53" spans="1:8" x14ac:dyDescent="0.35">
      <c r="A53" s="2"/>
      <c r="B53" t="s">
        <v>62</v>
      </c>
      <c r="C53" s="15">
        <v>46219</v>
      </c>
      <c r="D53" t="s">
        <v>96</v>
      </c>
      <c r="E53" s="12" t="s">
        <v>44</v>
      </c>
      <c r="F53" s="12">
        <v>3</v>
      </c>
      <c r="G53" s="12">
        <v>29</v>
      </c>
      <c r="H53" s="12" t="s">
        <v>109</v>
      </c>
    </row>
    <row r="54" spans="1:8" x14ac:dyDescent="0.35">
      <c r="A54" s="2"/>
      <c r="B54" t="s">
        <v>98</v>
      </c>
      <c r="C54" s="15">
        <v>46219</v>
      </c>
      <c r="D54" t="s">
        <v>96</v>
      </c>
      <c r="E54" s="12" t="s">
        <v>44</v>
      </c>
      <c r="F54" s="12">
        <v>1</v>
      </c>
      <c r="G54" s="12">
        <v>29</v>
      </c>
      <c r="H54" s="12" t="s">
        <v>109</v>
      </c>
    </row>
    <row r="55" spans="1:8" x14ac:dyDescent="0.35">
      <c r="A55" s="2">
        <v>209882</v>
      </c>
      <c r="B55" t="s">
        <v>100</v>
      </c>
      <c r="C55" s="15">
        <v>46247</v>
      </c>
      <c r="D55" t="s">
        <v>34</v>
      </c>
      <c r="E55" s="12" t="s">
        <v>44</v>
      </c>
      <c r="F55" s="12">
        <v>3</v>
      </c>
      <c r="G55" s="12">
        <v>33</v>
      </c>
      <c r="H55" s="12" t="s">
        <v>109</v>
      </c>
    </row>
    <row r="56" spans="1:8" x14ac:dyDescent="0.35">
      <c r="A56" s="2">
        <v>209884</v>
      </c>
      <c r="B56" t="s">
        <v>92</v>
      </c>
      <c r="C56" s="15">
        <v>46240</v>
      </c>
      <c r="D56" t="s">
        <v>34</v>
      </c>
      <c r="E56" s="12" t="s">
        <v>33</v>
      </c>
      <c r="F56" s="12">
        <v>4</v>
      </c>
      <c r="G56" s="12">
        <v>32</v>
      </c>
      <c r="H56" s="12" t="s">
        <v>109</v>
      </c>
    </row>
    <row r="57" spans="1:8" x14ac:dyDescent="0.35">
      <c r="A57" s="2">
        <v>209941</v>
      </c>
      <c r="B57" t="s">
        <v>62</v>
      </c>
      <c r="C57" s="15">
        <v>46240</v>
      </c>
      <c r="D57" t="s">
        <v>96</v>
      </c>
      <c r="E57" s="12" t="s">
        <v>44</v>
      </c>
      <c r="F57" s="12">
        <v>3</v>
      </c>
      <c r="G57" s="12">
        <v>32</v>
      </c>
      <c r="H57" s="12" t="s">
        <v>109</v>
      </c>
    </row>
    <row r="58" spans="1:8" x14ac:dyDescent="0.35">
      <c r="A58" s="2"/>
      <c r="B58" t="s">
        <v>68</v>
      </c>
      <c r="C58" s="15">
        <v>46240</v>
      </c>
      <c r="D58" t="s">
        <v>96</v>
      </c>
      <c r="E58" s="12" t="s">
        <v>44</v>
      </c>
      <c r="F58" s="12">
        <v>1</v>
      </c>
      <c r="G58" s="12">
        <v>32</v>
      </c>
      <c r="H58" s="12" t="s">
        <v>109</v>
      </c>
    </row>
    <row r="59" spans="1:8" x14ac:dyDescent="0.35">
      <c r="A59" s="2">
        <v>209942</v>
      </c>
      <c r="B59" t="s">
        <v>62</v>
      </c>
      <c r="C59" s="15">
        <v>46226</v>
      </c>
      <c r="D59" t="s">
        <v>45</v>
      </c>
      <c r="E59" s="12" t="s">
        <v>44</v>
      </c>
      <c r="F59" s="12">
        <v>16</v>
      </c>
      <c r="G59" s="12">
        <v>30</v>
      </c>
      <c r="H59" s="12" t="s">
        <v>109</v>
      </c>
    </row>
    <row r="60" spans="1:8" x14ac:dyDescent="0.35">
      <c r="A60" s="2">
        <v>209944</v>
      </c>
      <c r="B60" t="s">
        <v>62</v>
      </c>
      <c r="C60" s="15">
        <v>46233</v>
      </c>
      <c r="D60" t="s">
        <v>45</v>
      </c>
      <c r="E60" s="12" t="s">
        <v>44</v>
      </c>
      <c r="F60" s="12">
        <v>12</v>
      </c>
      <c r="G60" s="12">
        <v>31</v>
      </c>
      <c r="H60" s="12" t="s">
        <v>109</v>
      </c>
    </row>
    <row r="61" spans="1:8" x14ac:dyDescent="0.35">
      <c r="A61" s="2">
        <v>209945</v>
      </c>
      <c r="B61" t="s">
        <v>56</v>
      </c>
      <c r="C61" s="15">
        <v>46240</v>
      </c>
      <c r="D61" t="s">
        <v>93</v>
      </c>
      <c r="E61" s="12" t="s">
        <v>44</v>
      </c>
      <c r="F61" s="12">
        <v>7</v>
      </c>
      <c r="G61" s="12">
        <v>32</v>
      </c>
      <c r="H61" s="12" t="s">
        <v>109</v>
      </c>
    </row>
    <row r="62" spans="1:8" x14ac:dyDescent="0.35">
      <c r="A62" s="2">
        <v>209946</v>
      </c>
      <c r="B62" t="s">
        <v>84</v>
      </c>
      <c r="C62" s="15">
        <v>46240</v>
      </c>
      <c r="D62" t="s">
        <v>34</v>
      </c>
      <c r="E62" s="12" t="s">
        <v>44</v>
      </c>
      <c r="F62" s="12">
        <v>3</v>
      </c>
      <c r="G62" s="12">
        <v>32</v>
      </c>
      <c r="H62" s="12" t="s">
        <v>109</v>
      </c>
    </row>
    <row r="63" spans="1:8" x14ac:dyDescent="0.35">
      <c r="A63" s="2"/>
      <c r="B63" t="s">
        <v>60</v>
      </c>
      <c r="C63" s="15">
        <v>46240</v>
      </c>
      <c r="D63" t="s">
        <v>34</v>
      </c>
      <c r="E63" s="12" t="s">
        <v>44</v>
      </c>
      <c r="F63" s="12">
        <v>19</v>
      </c>
      <c r="G63" s="12">
        <v>32</v>
      </c>
      <c r="H63" s="12" t="s">
        <v>109</v>
      </c>
    </row>
    <row r="64" spans="1:8" x14ac:dyDescent="0.35">
      <c r="A64" s="2"/>
      <c r="B64" t="s">
        <v>86</v>
      </c>
      <c r="C64" s="15">
        <v>46240</v>
      </c>
      <c r="D64" t="s">
        <v>34</v>
      </c>
      <c r="E64" s="12" t="s">
        <v>33</v>
      </c>
      <c r="F64" s="12">
        <v>2</v>
      </c>
      <c r="G64" s="12">
        <v>32</v>
      </c>
      <c r="H64" s="12" t="s">
        <v>109</v>
      </c>
    </row>
    <row r="65" spans="1:8" x14ac:dyDescent="0.35">
      <c r="A65" s="2"/>
      <c r="B65" t="s">
        <v>58</v>
      </c>
      <c r="C65" s="15">
        <v>46240</v>
      </c>
      <c r="D65" t="s">
        <v>34</v>
      </c>
      <c r="E65" s="12" t="s">
        <v>44</v>
      </c>
      <c r="F65" s="12">
        <v>3</v>
      </c>
      <c r="G65" s="12">
        <v>32</v>
      </c>
      <c r="H65" s="12" t="s">
        <v>109</v>
      </c>
    </row>
    <row r="66" spans="1:8" x14ac:dyDescent="0.35">
      <c r="A66" s="2">
        <v>209948</v>
      </c>
      <c r="B66" t="s">
        <v>52</v>
      </c>
      <c r="C66" s="15">
        <v>46240</v>
      </c>
      <c r="D66" t="s">
        <v>45</v>
      </c>
      <c r="E66" s="12" t="s">
        <v>44</v>
      </c>
      <c r="F66" s="12">
        <v>5</v>
      </c>
      <c r="G66" s="12">
        <v>32</v>
      </c>
      <c r="H66" s="12" t="s">
        <v>109</v>
      </c>
    </row>
    <row r="67" spans="1:8" x14ac:dyDescent="0.35">
      <c r="A67" s="2"/>
      <c r="B67" t="s">
        <v>60</v>
      </c>
      <c r="C67" s="15">
        <v>46240</v>
      </c>
      <c r="D67" t="s">
        <v>45</v>
      </c>
      <c r="E67" s="12" t="s">
        <v>44</v>
      </c>
      <c r="F67" s="12">
        <v>15</v>
      </c>
      <c r="G67" s="12">
        <v>32</v>
      </c>
      <c r="H67" s="12" t="s">
        <v>109</v>
      </c>
    </row>
    <row r="68" spans="1:8" x14ac:dyDescent="0.35">
      <c r="A68" s="2"/>
      <c r="B68" t="s">
        <v>62</v>
      </c>
      <c r="C68" s="15">
        <v>46240</v>
      </c>
      <c r="D68" t="s">
        <v>45</v>
      </c>
      <c r="E68" s="12" t="s">
        <v>44</v>
      </c>
      <c r="F68" s="12">
        <v>11</v>
      </c>
      <c r="G68" s="12">
        <v>32</v>
      </c>
      <c r="H68" s="12" t="s">
        <v>109</v>
      </c>
    </row>
    <row r="69" spans="1:8" x14ac:dyDescent="0.35">
      <c r="A69" s="2">
        <v>209950</v>
      </c>
      <c r="B69" t="s">
        <v>84</v>
      </c>
      <c r="C69" s="15">
        <v>46226</v>
      </c>
      <c r="D69" t="s">
        <v>34</v>
      </c>
      <c r="E69" s="12" t="s">
        <v>44</v>
      </c>
      <c r="F69" s="12">
        <v>4</v>
      </c>
      <c r="G69" s="12">
        <v>30</v>
      </c>
      <c r="H69" s="12" t="s">
        <v>109</v>
      </c>
    </row>
    <row r="70" spans="1:8" x14ac:dyDescent="0.35">
      <c r="A70" s="2"/>
      <c r="B70" t="s">
        <v>86</v>
      </c>
      <c r="C70" s="15">
        <v>46226</v>
      </c>
      <c r="D70" t="s">
        <v>34</v>
      </c>
      <c r="E70" s="12" t="s">
        <v>33</v>
      </c>
      <c r="F70" s="12">
        <v>2</v>
      </c>
      <c r="G70" s="12">
        <v>30</v>
      </c>
      <c r="H70" s="12" t="s">
        <v>109</v>
      </c>
    </row>
    <row r="71" spans="1:8" x14ac:dyDescent="0.35">
      <c r="A71" s="2">
        <v>209953</v>
      </c>
      <c r="B71" t="s">
        <v>58</v>
      </c>
      <c r="C71" s="15">
        <v>46219</v>
      </c>
      <c r="D71" t="s">
        <v>34</v>
      </c>
      <c r="E71" s="12" t="s">
        <v>44</v>
      </c>
      <c r="F71" s="12">
        <v>5</v>
      </c>
      <c r="G71" s="12">
        <v>29</v>
      </c>
      <c r="H71" s="12" t="s">
        <v>109</v>
      </c>
    </row>
    <row r="72" spans="1:8" x14ac:dyDescent="0.35">
      <c r="A72" s="2">
        <v>210276</v>
      </c>
      <c r="B72" t="s">
        <v>72</v>
      </c>
      <c r="C72" s="15">
        <v>46254</v>
      </c>
      <c r="D72" t="s">
        <v>45</v>
      </c>
      <c r="E72" s="12" t="s">
        <v>44</v>
      </c>
      <c r="F72" s="12">
        <v>300</v>
      </c>
      <c r="G72" s="12">
        <v>34</v>
      </c>
      <c r="H72" s="12" t="s">
        <v>109</v>
      </c>
    </row>
    <row r="73" spans="1:8" x14ac:dyDescent="0.35">
      <c r="A73" s="2">
        <v>210277</v>
      </c>
      <c r="B73" t="s">
        <v>92</v>
      </c>
      <c r="C73" s="15">
        <v>46247</v>
      </c>
      <c r="D73" t="s">
        <v>34</v>
      </c>
      <c r="E73" s="12" t="s">
        <v>33</v>
      </c>
      <c r="F73" s="12">
        <v>10</v>
      </c>
      <c r="G73" s="12">
        <v>33</v>
      </c>
      <c r="H73" s="12" t="s">
        <v>109</v>
      </c>
    </row>
    <row r="74" spans="1:8" x14ac:dyDescent="0.35">
      <c r="A74" s="2">
        <v>210278</v>
      </c>
      <c r="B74" t="s">
        <v>92</v>
      </c>
      <c r="C74" s="15">
        <v>46226</v>
      </c>
      <c r="D74" t="s">
        <v>34</v>
      </c>
      <c r="E74" s="12" t="s">
        <v>33</v>
      </c>
      <c r="F74" s="12">
        <v>6</v>
      </c>
      <c r="G74" s="12">
        <v>30</v>
      </c>
      <c r="H74" s="12" t="s">
        <v>109</v>
      </c>
    </row>
    <row r="75" spans="1:8" x14ac:dyDescent="0.35">
      <c r="A75" s="2">
        <v>210279</v>
      </c>
      <c r="B75" t="s">
        <v>78</v>
      </c>
      <c r="C75" s="15">
        <v>46240</v>
      </c>
      <c r="D75" t="s">
        <v>34</v>
      </c>
      <c r="E75" s="12" t="s">
        <v>44</v>
      </c>
      <c r="F75" s="12">
        <v>7</v>
      </c>
      <c r="G75" s="12">
        <v>32</v>
      </c>
      <c r="H75" s="12" t="s">
        <v>109</v>
      </c>
    </row>
    <row r="76" spans="1:8" x14ac:dyDescent="0.35">
      <c r="A76" s="2"/>
      <c r="B76" t="s">
        <v>52</v>
      </c>
      <c r="C76" s="15">
        <v>46240</v>
      </c>
      <c r="D76" t="s">
        <v>34</v>
      </c>
      <c r="E76" s="12" t="s">
        <v>44</v>
      </c>
      <c r="F76" s="12">
        <v>23</v>
      </c>
      <c r="G76" s="12">
        <v>32</v>
      </c>
      <c r="H76" s="12" t="s">
        <v>109</v>
      </c>
    </row>
    <row r="77" spans="1:8" x14ac:dyDescent="0.35">
      <c r="A77" s="2"/>
      <c r="B77" t="s">
        <v>88</v>
      </c>
      <c r="C77" s="15">
        <v>46240</v>
      </c>
      <c r="D77" t="s">
        <v>34</v>
      </c>
      <c r="E77" s="12" t="s">
        <v>44</v>
      </c>
      <c r="F77" s="12">
        <v>7</v>
      </c>
      <c r="G77" s="12">
        <v>32</v>
      </c>
      <c r="H77" s="12" t="s">
        <v>109</v>
      </c>
    </row>
    <row r="78" spans="1:8" x14ac:dyDescent="0.35">
      <c r="A78" s="2"/>
      <c r="B78" t="s">
        <v>104</v>
      </c>
      <c r="C78" s="15">
        <v>46240</v>
      </c>
      <c r="D78" t="s">
        <v>34</v>
      </c>
      <c r="E78" s="12" t="s">
        <v>44</v>
      </c>
      <c r="F78" s="12">
        <v>3</v>
      </c>
      <c r="G78" s="12">
        <v>32</v>
      </c>
      <c r="H78" s="12" t="s">
        <v>109</v>
      </c>
    </row>
    <row r="79" spans="1:8" x14ac:dyDescent="0.35">
      <c r="A79" s="2"/>
      <c r="B79" t="s">
        <v>68</v>
      </c>
      <c r="C79" s="15">
        <v>46240</v>
      </c>
      <c r="D79" t="s">
        <v>34</v>
      </c>
      <c r="E79" s="12" t="s">
        <v>44</v>
      </c>
      <c r="F79" s="12">
        <v>9</v>
      </c>
      <c r="G79" s="12">
        <v>32</v>
      </c>
      <c r="H79" s="12" t="s">
        <v>109</v>
      </c>
    </row>
    <row r="80" spans="1:8" x14ac:dyDescent="0.35">
      <c r="A80" s="2">
        <v>210280</v>
      </c>
      <c r="B80" t="s">
        <v>82</v>
      </c>
      <c r="C80" s="15">
        <v>46247</v>
      </c>
      <c r="D80" t="s">
        <v>34</v>
      </c>
      <c r="E80" s="12" t="s">
        <v>44</v>
      </c>
      <c r="F80" s="12">
        <v>7</v>
      </c>
      <c r="G80" s="12">
        <v>33</v>
      </c>
      <c r="H80" s="12" t="s">
        <v>109</v>
      </c>
    </row>
    <row r="81" spans="1:8" x14ac:dyDescent="0.35">
      <c r="A81" s="2"/>
      <c r="B81" t="s">
        <v>84</v>
      </c>
      <c r="C81" s="15">
        <v>46247</v>
      </c>
      <c r="D81" t="s">
        <v>34</v>
      </c>
      <c r="E81" s="12" t="s">
        <v>44</v>
      </c>
      <c r="F81" s="12">
        <v>7</v>
      </c>
      <c r="G81" s="12">
        <v>33</v>
      </c>
      <c r="H81" s="12" t="s">
        <v>109</v>
      </c>
    </row>
    <row r="82" spans="1:8" x14ac:dyDescent="0.35">
      <c r="A82" s="2"/>
      <c r="B82" t="s">
        <v>60</v>
      </c>
      <c r="C82" s="15">
        <v>46247</v>
      </c>
      <c r="D82" t="s">
        <v>34</v>
      </c>
      <c r="E82" s="12" t="s">
        <v>44</v>
      </c>
      <c r="F82" s="12">
        <v>30</v>
      </c>
      <c r="G82" s="12">
        <v>33</v>
      </c>
      <c r="H82" s="12" t="s">
        <v>109</v>
      </c>
    </row>
    <row r="83" spans="1:8" x14ac:dyDescent="0.35">
      <c r="A83" s="2"/>
      <c r="B83" t="s">
        <v>62</v>
      </c>
      <c r="C83" s="15">
        <v>46247</v>
      </c>
      <c r="D83" t="s">
        <v>34</v>
      </c>
      <c r="E83" s="12" t="s">
        <v>44</v>
      </c>
      <c r="F83" s="12">
        <v>40</v>
      </c>
      <c r="G83" s="12">
        <v>33</v>
      </c>
      <c r="H83" s="12" t="s">
        <v>109</v>
      </c>
    </row>
    <row r="84" spans="1:8" x14ac:dyDescent="0.35">
      <c r="A84" s="2"/>
      <c r="B84" t="s">
        <v>86</v>
      </c>
      <c r="C84" s="15">
        <v>46247</v>
      </c>
      <c r="D84" t="s">
        <v>34</v>
      </c>
      <c r="E84" s="12" t="s">
        <v>33</v>
      </c>
      <c r="F84" s="12">
        <v>7</v>
      </c>
      <c r="G84" s="12">
        <v>33</v>
      </c>
      <c r="H84" s="12" t="s">
        <v>109</v>
      </c>
    </row>
    <row r="85" spans="1:8" x14ac:dyDescent="0.35">
      <c r="A85" s="2">
        <v>210281</v>
      </c>
      <c r="B85" t="s">
        <v>78</v>
      </c>
      <c r="C85" s="15">
        <v>46226</v>
      </c>
      <c r="D85" t="s">
        <v>34</v>
      </c>
      <c r="E85" s="12" t="s">
        <v>44</v>
      </c>
      <c r="F85" s="12">
        <v>5</v>
      </c>
      <c r="G85" s="12">
        <v>30</v>
      </c>
      <c r="H85" s="12" t="s">
        <v>109</v>
      </c>
    </row>
    <row r="86" spans="1:8" x14ac:dyDescent="0.35">
      <c r="A86" s="2"/>
      <c r="B86" t="s">
        <v>88</v>
      </c>
      <c r="C86" s="15">
        <v>46226</v>
      </c>
      <c r="D86" t="s">
        <v>34</v>
      </c>
      <c r="E86" s="12" t="s">
        <v>44</v>
      </c>
      <c r="F86" s="12">
        <v>6</v>
      </c>
      <c r="G86" s="12">
        <v>30</v>
      </c>
      <c r="H86" s="12" t="s">
        <v>109</v>
      </c>
    </row>
    <row r="87" spans="1:8" x14ac:dyDescent="0.35">
      <c r="A87" s="2">
        <v>210282</v>
      </c>
      <c r="B87" t="s">
        <v>82</v>
      </c>
      <c r="C87" s="15">
        <v>46233</v>
      </c>
      <c r="D87" t="s">
        <v>34</v>
      </c>
      <c r="E87" s="12" t="s">
        <v>44</v>
      </c>
      <c r="F87" s="12">
        <v>7</v>
      </c>
      <c r="G87" s="12">
        <v>31</v>
      </c>
      <c r="H87" s="12" t="s">
        <v>109</v>
      </c>
    </row>
    <row r="88" spans="1:8" x14ac:dyDescent="0.35">
      <c r="A88" s="2"/>
      <c r="B88" t="s">
        <v>86</v>
      </c>
      <c r="C88" s="15">
        <v>46233</v>
      </c>
      <c r="D88" t="s">
        <v>34</v>
      </c>
      <c r="E88" s="12" t="s">
        <v>33</v>
      </c>
      <c r="F88" s="12">
        <v>7</v>
      </c>
      <c r="G88" s="12">
        <v>31</v>
      </c>
      <c r="H88" s="12" t="s">
        <v>109</v>
      </c>
    </row>
    <row r="89" spans="1:8" x14ac:dyDescent="0.35">
      <c r="A89" s="2">
        <v>210285</v>
      </c>
      <c r="B89" t="s">
        <v>92</v>
      </c>
      <c r="C89" s="15">
        <v>46240</v>
      </c>
      <c r="D89" t="s">
        <v>96</v>
      </c>
      <c r="E89" s="12" t="s">
        <v>33</v>
      </c>
      <c r="F89" s="12">
        <v>3</v>
      </c>
      <c r="G89" s="12">
        <v>32</v>
      </c>
      <c r="H89" s="12" t="s">
        <v>109</v>
      </c>
    </row>
    <row r="90" spans="1:8" x14ac:dyDescent="0.35">
      <c r="A90" s="2">
        <v>210286</v>
      </c>
      <c r="B90" t="s">
        <v>92</v>
      </c>
      <c r="C90" s="15">
        <v>46226</v>
      </c>
      <c r="D90" t="s">
        <v>96</v>
      </c>
      <c r="E90" s="12" t="s">
        <v>33</v>
      </c>
      <c r="F90" s="12">
        <v>2</v>
      </c>
      <c r="G90" s="12">
        <v>30</v>
      </c>
      <c r="H90" s="12" t="s">
        <v>109</v>
      </c>
    </row>
    <row r="91" spans="1:8" x14ac:dyDescent="0.35">
      <c r="A91" s="2">
        <v>210288</v>
      </c>
      <c r="B91" t="s">
        <v>72</v>
      </c>
      <c r="C91" s="15">
        <v>46240</v>
      </c>
      <c r="D91" t="s">
        <v>34</v>
      </c>
      <c r="E91" s="12" t="s">
        <v>44</v>
      </c>
      <c r="F91" s="12">
        <v>300</v>
      </c>
      <c r="G91" s="12">
        <v>32</v>
      </c>
      <c r="H91" s="12" t="s">
        <v>109</v>
      </c>
    </row>
    <row r="92" spans="1:8" x14ac:dyDescent="0.35">
      <c r="A92" s="2">
        <v>210289</v>
      </c>
      <c r="B92" t="s">
        <v>84</v>
      </c>
      <c r="C92" s="15">
        <v>46247</v>
      </c>
      <c r="D92" t="s">
        <v>93</v>
      </c>
      <c r="E92" s="12" t="s">
        <v>44</v>
      </c>
      <c r="F92" s="12">
        <v>5</v>
      </c>
      <c r="G92" s="12">
        <v>33</v>
      </c>
      <c r="H92" s="12" t="s">
        <v>109</v>
      </c>
    </row>
    <row r="93" spans="1:8" x14ac:dyDescent="0.35">
      <c r="A93" s="2"/>
      <c r="B93" t="s">
        <v>60</v>
      </c>
      <c r="C93" s="15">
        <v>46247</v>
      </c>
      <c r="D93" t="s">
        <v>93</v>
      </c>
      <c r="E93" s="12" t="s">
        <v>44</v>
      </c>
      <c r="F93" s="12">
        <v>6</v>
      </c>
      <c r="G93" s="12">
        <v>33</v>
      </c>
      <c r="H93" s="12" t="s">
        <v>109</v>
      </c>
    </row>
    <row r="94" spans="1:8" x14ac:dyDescent="0.35">
      <c r="A94" s="2"/>
      <c r="B94" t="s">
        <v>62</v>
      </c>
      <c r="C94" s="15">
        <v>46247</v>
      </c>
      <c r="D94" t="s">
        <v>93</v>
      </c>
      <c r="E94" s="12" t="s">
        <v>44</v>
      </c>
      <c r="F94" s="12">
        <v>5</v>
      </c>
      <c r="G94" s="12">
        <v>33</v>
      </c>
      <c r="H94" s="12" t="s">
        <v>109</v>
      </c>
    </row>
    <row r="95" spans="1:8" x14ac:dyDescent="0.35">
      <c r="A95" s="2"/>
      <c r="B95" t="s">
        <v>56</v>
      </c>
      <c r="C95" s="15">
        <v>46247</v>
      </c>
      <c r="D95" t="s">
        <v>93</v>
      </c>
      <c r="E95" s="12" t="s">
        <v>44</v>
      </c>
      <c r="F95" s="12">
        <v>8</v>
      </c>
      <c r="G95" s="12">
        <v>33</v>
      </c>
      <c r="H95" s="12" t="s">
        <v>109</v>
      </c>
    </row>
    <row r="96" spans="1:8" x14ac:dyDescent="0.35">
      <c r="A96" s="2"/>
      <c r="B96" t="s">
        <v>88</v>
      </c>
      <c r="C96" s="15">
        <v>46247</v>
      </c>
      <c r="D96" t="s">
        <v>93</v>
      </c>
      <c r="E96" s="12" t="s">
        <v>44</v>
      </c>
      <c r="F96" s="12">
        <v>4</v>
      </c>
      <c r="G96" s="12">
        <v>33</v>
      </c>
      <c r="H96" s="12" t="s">
        <v>109</v>
      </c>
    </row>
    <row r="97" spans="1:8" x14ac:dyDescent="0.35">
      <c r="A97" s="2"/>
      <c r="B97" t="s">
        <v>68</v>
      </c>
      <c r="C97" s="15">
        <v>46247</v>
      </c>
      <c r="D97" t="s">
        <v>93</v>
      </c>
      <c r="E97" s="12" t="s">
        <v>44</v>
      </c>
      <c r="F97" s="12">
        <v>2</v>
      </c>
      <c r="G97" s="12">
        <v>33</v>
      </c>
      <c r="H97" s="12" t="s">
        <v>109</v>
      </c>
    </row>
    <row r="98" spans="1:8" x14ac:dyDescent="0.35">
      <c r="A98" s="2">
        <v>210290</v>
      </c>
      <c r="B98" t="s">
        <v>84</v>
      </c>
      <c r="C98" s="15">
        <v>46240</v>
      </c>
      <c r="D98" t="s">
        <v>93</v>
      </c>
      <c r="E98" s="12" t="s">
        <v>44</v>
      </c>
      <c r="F98" s="12">
        <v>5</v>
      </c>
      <c r="G98" s="12">
        <v>32</v>
      </c>
      <c r="H98" s="12" t="s">
        <v>109</v>
      </c>
    </row>
    <row r="99" spans="1:8" x14ac:dyDescent="0.35">
      <c r="A99" s="2"/>
      <c r="B99" t="s">
        <v>60</v>
      </c>
      <c r="C99" s="15">
        <v>46240</v>
      </c>
      <c r="D99" t="s">
        <v>93</v>
      </c>
      <c r="E99" s="12" t="s">
        <v>44</v>
      </c>
      <c r="F99" s="12">
        <v>6</v>
      </c>
      <c r="G99" s="12">
        <v>32</v>
      </c>
      <c r="H99" s="12" t="s">
        <v>109</v>
      </c>
    </row>
    <row r="100" spans="1:8" x14ac:dyDescent="0.35">
      <c r="A100" s="2"/>
      <c r="B100" t="s">
        <v>56</v>
      </c>
      <c r="C100" s="15">
        <v>46240</v>
      </c>
      <c r="D100" t="s">
        <v>93</v>
      </c>
      <c r="E100" s="12" t="s">
        <v>44</v>
      </c>
      <c r="F100" s="12">
        <v>6</v>
      </c>
      <c r="G100" s="12">
        <v>32</v>
      </c>
      <c r="H100" s="12" t="s">
        <v>109</v>
      </c>
    </row>
    <row r="101" spans="1:8" x14ac:dyDescent="0.35">
      <c r="A101" s="2">
        <v>210291</v>
      </c>
      <c r="B101" t="s">
        <v>60</v>
      </c>
      <c r="C101" s="15">
        <v>46254</v>
      </c>
      <c r="D101" t="s">
        <v>93</v>
      </c>
      <c r="E101" s="12" t="s">
        <v>44</v>
      </c>
      <c r="F101" s="12">
        <v>6</v>
      </c>
      <c r="G101" s="12">
        <v>34</v>
      </c>
      <c r="H101" s="12" t="s">
        <v>109</v>
      </c>
    </row>
    <row r="102" spans="1:8" x14ac:dyDescent="0.35">
      <c r="A102" s="2"/>
      <c r="B102" t="s">
        <v>68</v>
      </c>
      <c r="C102" s="15">
        <v>46254</v>
      </c>
      <c r="D102" t="s">
        <v>93</v>
      </c>
      <c r="E102" s="12" t="s">
        <v>44</v>
      </c>
      <c r="F102" s="12">
        <v>2</v>
      </c>
      <c r="G102" s="12">
        <v>34</v>
      </c>
      <c r="H102" s="12" t="s">
        <v>109</v>
      </c>
    </row>
    <row r="103" spans="1:8" x14ac:dyDescent="0.35">
      <c r="A103" s="2">
        <v>210292</v>
      </c>
      <c r="B103" t="s">
        <v>84</v>
      </c>
      <c r="C103" s="15">
        <v>46233</v>
      </c>
      <c r="D103" t="s">
        <v>93</v>
      </c>
      <c r="E103" s="12" t="s">
        <v>44</v>
      </c>
      <c r="F103" s="12">
        <v>3</v>
      </c>
      <c r="G103" s="12">
        <v>31</v>
      </c>
      <c r="H103" s="12" t="s">
        <v>109</v>
      </c>
    </row>
    <row r="104" spans="1:8" x14ac:dyDescent="0.35">
      <c r="A104" s="2"/>
      <c r="B104" t="s">
        <v>60</v>
      </c>
      <c r="C104" s="15">
        <v>46233</v>
      </c>
      <c r="D104" t="s">
        <v>93</v>
      </c>
      <c r="E104" s="12" t="s">
        <v>44</v>
      </c>
      <c r="F104" s="12">
        <v>7</v>
      </c>
      <c r="G104" s="12">
        <v>31</v>
      </c>
      <c r="H104" s="12" t="s">
        <v>109</v>
      </c>
    </row>
    <row r="105" spans="1:8" x14ac:dyDescent="0.35">
      <c r="A105" s="2">
        <v>210293</v>
      </c>
      <c r="B105" t="s">
        <v>60</v>
      </c>
      <c r="C105" s="15">
        <v>46240</v>
      </c>
      <c r="D105" t="s">
        <v>96</v>
      </c>
      <c r="E105" s="12" t="s">
        <v>44</v>
      </c>
      <c r="F105" s="12">
        <v>5</v>
      </c>
      <c r="G105" s="12">
        <v>32</v>
      </c>
      <c r="H105" s="12" t="s">
        <v>109</v>
      </c>
    </row>
    <row r="106" spans="1:8" x14ac:dyDescent="0.35">
      <c r="A106" s="2"/>
      <c r="B106" t="s">
        <v>86</v>
      </c>
      <c r="C106" s="15">
        <v>46240</v>
      </c>
      <c r="D106" t="s">
        <v>96</v>
      </c>
      <c r="E106" s="12" t="s">
        <v>33</v>
      </c>
      <c r="F106" s="12">
        <v>2</v>
      </c>
      <c r="G106" s="12">
        <v>32</v>
      </c>
      <c r="H106" s="12" t="s">
        <v>109</v>
      </c>
    </row>
    <row r="107" spans="1:8" x14ac:dyDescent="0.35">
      <c r="A107" s="2"/>
      <c r="B107" t="s">
        <v>88</v>
      </c>
      <c r="C107" s="15">
        <v>46240</v>
      </c>
      <c r="D107" t="s">
        <v>96</v>
      </c>
      <c r="E107" s="12" t="s">
        <v>44</v>
      </c>
      <c r="F107" s="12">
        <v>3</v>
      </c>
      <c r="G107" s="12">
        <v>32</v>
      </c>
      <c r="H107" s="12" t="s">
        <v>109</v>
      </c>
    </row>
    <row r="108" spans="1:8" x14ac:dyDescent="0.35">
      <c r="A108" s="2"/>
      <c r="B108" t="s">
        <v>104</v>
      </c>
      <c r="C108" s="15">
        <v>46240</v>
      </c>
      <c r="D108" t="s">
        <v>96</v>
      </c>
      <c r="E108" s="12" t="s">
        <v>44</v>
      </c>
      <c r="F108" s="12">
        <v>2</v>
      </c>
      <c r="G108" s="12">
        <v>32</v>
      </c>
      <c r="H108" s="12" t="s">
        <v>109</v>
      </c>
    </row>
    <row r="109" spans="1:8" x14ac:dyDescent="0.35">
      <c r="A109" s="2"/>
      <c r="B109" t="s">
        <v>58</v>
      </c>
      <c r="C109" s="15">
        <v>46240</v>
      </c>
      <c r="D109" t="s">
        <v>96</v>
      </c>
      <c r="E109" s="12" t="s">
        <v>44</v>
      </c>
      <c r="F109" s="12">
        <v>3</v>
      </c>
      <c r="G109" s="12">
        <v>32</v>
      </c>
      <c r="H109" s="12" t="s">
        <v>109</v>
      </c>
    </row>
    <row r="110" spans="1:8" x14ac:dyDescent="0.35">
      <c r="A110" s="2">
        <v>210294</v>
      </c>
      <c r="B110" t="s">
        <v>78</v>
      </c>
      <c r="C110" s="15">
        <v>46247</v>
      </c>
      <c r="D110" t="s">
        <v>96</v>
      </c>
      <c r="E110" s="12" t="s">
        <v>44</v>
      </c>
      <c r="F110" s="12">
        <v>2</v>
      </c>
      <c r="G110" s="12">
        <v>33</v>
      </c>
      <c r="H110" s="12" t="s">
        <v>109</v>
      </c>
    </row>
    <row r="111" spans="1:8" x14ac:dyDescent="0.35">
      <c r="A111" s="2"/>
      <c r="B111" t="s">
        <v>52</v>
      </c>
      <c r="C111" s="15">
        <v>46247</v>
      </c>
      <c r="D111" t="s">
        <v>96</v>
      </c>
      <c r="E111" s="12" t="s">
        <v>44</v>
      </c>
      <c r="F111" s="12">
        <v>2</v>
      </c>
      <c r="G111" s="12">
        <v>33</v>
      </c>
      <c r="H111" s="12" t="s">
        <v>109</v>
      </c>
    </row>
    <row r="112" spans="1:8" x14ac:dyDescent="0.35">
      <c r="A112" s="2"/>
      <c r="B112" t="s">
        <v>60</v>
      </c>
      <c r="C112" s="15">
        <v>46247</v>
      </c>
      <c r="D112" t="s">
        <v>96</v>
      </c>
      <c r="E112" s="12" t="s">
        <v>44</v>
      </c>
      <c r="F112" s="12">
        <v>5</v>
      </c>
      <c r="G112" s="12">
        <v>33</v>
      </c>
      <c r="H112" s="12" t="s">
        <v>109</v>
      </c>
    </row>
    <row r="113" spans="1:8" x14ac:dyDescent="0.35">
      <c r="A113" s="2"/>
      <c r="B113" t="s">
        <v>62</v>
      </c>
      <c r="C113" s="15">
        <v>46247</v>
      </c>
      <c r="D113" t="s">
        <v>96</v>
      </c>
      <c r="E113" s="12" t="s">
        <v>44</v>
      </c>
      <c r="F113" s="12">
        <v>3</v>
      </c>
      <c r="G113" s="12">
        <v>33</v>
      </c>
      <c r="H113" s="12" t="s">
        <v>109</v>
      </c>
    </row>
    <row r="114" spans="1:8" x14ac:dyDescent="0.35">
      <c r="A114" s="2"/>
      <c r="B114" t="s">
        <v>56</v>
      </c>
      <c r="C114" s="15">
        <v>46247</v>
      </c>
      <c r="D114" t="s">
        <v>96</v>
      </c>
      <c r="E114" s="12" t="s">
        <v>44</v>
      </c>
      <c r="F114" s="12">
        <v>2</v>
      </c>
      <c r="G114" s="12">
        <v>33</v>
      </c>
      <c r="H114" s="12" t="s">
        <v>109</v>
      </c>
    </row>
    <row r="115" spans="1:8" x14ac:dyDescent="0.35">
      <c r="A115" s="2"/>
      <c r="B115" t="s">
        <v>90</v>
      </c>
      <c r="C115" s="15">
        <v>46247</v>
      </c>
      <c r="D115" t="s">
        <v>96</v>
      </c>
      <c r="E115" s="12" t="s">
        <v>44</v>
      </c>
      <c r="F115" s="12">
        <v>2</v>
      </c>
      <c r="G115" s="12">
        <v>33</v>
      </c>
      <c r="H115" s="12" t="s">
        <v>109</v>
      </c>
    </row>
    <row r="116" spans="1:8" x14ac:dyDescent="0.35">
      <c r="A116" s="2"/>
      <c r="B116" t="s">
        <v>68</v>
      </c>
      <c r="C116" s="15">
        <v>46247</v>
      </c>
      <c r="D116" t="s">
        <v>96</v>
      </c>
      <c r="E116" s="12" t="s">
        <v>44</v>
      </c>
      <c r="F116" s="12">
        <v>2</v>
      </c>
      <c r="G116" s="12">
        <v>33</v>
      </c>
      <c r="H116" s="12" t="s">
        <v>109</v>
      </c>
    </row>
    <row r="117" spans="1:8" x14ac:dyDescent="0.35">
      <c r="A117" s="2">
        <v>210295</v>
      </c>
      <c r="B117" t="s">
        <v>60</v>
      </c>
      <c r="C117" s="15">
        <v>46233</v>
      </c>
      <c r="D117" t="s">
        <v>96</v>
      </c>
      <c r="E117" s="12" t="s">
        <v>44</v>
      </c>
      <c r="F117" s="12">
        <v>3</v>
      </c>
      <c r="G117" s="12">
        <v>31</v>
      </c>
      <c r="H117" s="12" t="s">
        <v>109</v>
      </c>
    </row>
    <row r="118" spans="1:8" x14ac:dyDescent="0.35">
      <c r="A118" s="2"/>
      <c r="B118" t="s">
        <v>86</v>
      </c>
      <c r="C118" s="15">
        <v>46233</v>
      </c>
      <c r="D118" t="s">
        <v>96</v>
      </c>
      <c r="E118" s="12" t="s">
        <v>33</v>
      </c>
      <c r="F118" s="12">
        <v>2</v>
      </c>
      <c r="G118" s="12">
        <v>31</v>
      </c>
      <c r="H118" s="12" t="s">
        <v>109</v>
      </c>
    </row>
    <row r="119" spans="1:8" x14ac:dyDescent="0.35">
      <c r="A119" s="2"/>
      <c r="B119" t="s">
        <v>56</v>
      </c>
      <c r="C119" s="15">
        <v>46233</v>
      </c>
      <c r="D119" t="s">
        <v>96</v>
      </c>
      <c r="E119" s="12" t="s">
        <v>44</v>
      </c>
      <c r="F119" s="12">
        <v>2</v>
      </c>
      <c r="G119" s="12">
        <v>31</v>
      </c>
      <c r="H119" s="12" t="s">
        <v>109</v>
      </c>
    </row>
    <row r="120" spans="1:8" x14ac:dyDescent="0.35">
      <c r="A120" s="2">
        <v>210299</v>
      </c>
      <c r="B120" t="s">
        <v>72</v>
      </c>
      <c r="C120" s="15">
        <v>46247</v>
      </c>
      <c r="D120" t="s">
        <v>45</v>
      </c>
      <c r="E120" s="12" t="s">
        <v>44</v>
      </c>
      <c r="F120" s="12">
        <v>300</v>
      </c>
      <c r="G120" s="12">
        <v>33</v>
      </c>
      <c r="H120" s="12" t="s">
        <v>109</v>
      </c>
    </row>
    <row r="121" spans="1:8" x14ac:dyDescent="0.35">
      <c r="A121" s="2"/>
      <c r="B121" t="s">
        <v>106</v>
      </c>
      <c r="C121" s="15">
        <v>46247</v>
      </c>
      <c r="D121" t="s">
        <v>45</v>
      </c>
      <c r="E121" s="12" t="s">
        <v>44</v>
      </c>
      <c r="F121" s="12">
        <v>10</v>
      </c>
      <c r="G121" s="12">
        <v>33</v>
      </c>
      <c r="H121" s="12" t="s">
        <v>109</v>
      </c>
    </row>
    <row r="122" spans="1:8" x14ac:dyDescent="0.35">
      <c r="A122" s="2">
        <v>210300</v>
      </c>
      <c r="B122" t="s">
        <v>52</v>
      </c>
      <c r="C122" s="15">
        <v>46247</v>
      </c>
      <c r="D122" t="s">
        <v>45</v>
      </c>
      <c r="E122" s="12" t="s">
        <v>44</v>
      </c>
      <c r="F122" s="12">
        <v>8</v>
      </c>
      <c r="G122" s="12">
        <v>33</v>
      </c>
      <c r="H122" s="12" t="s">
        <v>109</v>
      </c>
    </row>
    <row r="123" spans="1:8" x14ac:dyDescent="0.35">
      <c r="A123" s="2"/>
      <c r="B123" t="s">
        <v>60</v>
      </c>
      <c r="C123" s="15">
        <v>46247</v>
      </c>
      <c r="D123" t="s">
        <v>45</v>
      </c>
      <c r="E123" s="12" t="s">
        <v>44</v>
      </c>
      <c r="F123" s="12">
        <v>23</v>
      </c>
      <c r="G123" s="12">
        <v>33</v>
      </c>
      <c r="H123" s="12" t="s">
        <v>109</v>
      </c>
    </row>
    <row r="124" spans="1:8" x14ac:dyDescent="0.35">
      <c r="A124" s="2"/>
      <c r="B124" t="s">
        <v>62</v>
      </c>
      <c r="C124" s="15">
        <v>46247</v>
      </c>
      <c r="D124" t="s">
        <v>45</v>
      </c>
      <c r="E124" s="12" t="s">
        <v>44</v>
      </c>
      <c r="F124" s="12">
        <v>6</v>
      </c>
      <c r="G124" s="12">
        <v>33</v>
      </c>
      <c r="H124" s="12" t="s">
        <v>109</v>
      </c>
    </row>
    <row r="125" spans="1:8" x14ac:dyDescent="0.35">
      <c r="A125" s="2">
        <v>210302</v>
      </c>
      <c r="B125" t="s">
        <v>32</v>
      </c>
      <c r="C125" s="15">
        <v>46254</v>
      </c>
      <c r="D125" t="s">
        <v>45</v>
      </c>
      <c r="E125" s="12" t="s">
        <v>33</v>
      </c>
      <c r="F125" s="12">
        <v>24</v>
      </c>
      <c r="G125" s="12">
        <v>34</v>
      </c>
      <c r="H125" s="12" t="s">
        <v>109</v>
      </c>
    </row>
    <row r="126" spans="1:8" x14ac:dyDescent="0.35">
      <c r="A126" s="2">
        <v>210303</v>
      </c>
      <c r="B126" t="s">
        <v>52</v>
      </c>
      <c r="C126" s="15">
        <v>46240</v>
      </c>
      <c r="D126" t="s">
        <v>45</v>
      </c>
      <c r="E126" s="12" t="s">
        <v>44</v>
      </c>
      <c r="F126" s="12">
        <v>3</v>
      </c>
      <c r="G126" s="12">
        <v>32</v>
      </c>
      <c r="H126" s="12" t="s">
        <v>109</v>
      </c>
    </row>
    <row r="127" spans="1:8" x14ac:dyDescent="0.35">
      <c r="A127" s="2"/>
      <c r="B127" t="s">
        <v>56</v>
      </c>
      <c r="C127" s="15">
        <v>46240</v>
      </c>
      <c r="D127" t="s">
        <v>45</v>
      </c>
      <c r="E127" s="12" t="s">
        <v>44</v>
      </c>
      <c r="F127" s="12">
        <v>33</v>
      </c>
      <c r="G127" s="12">
        <v>32</v>
      </c>
      <c r="H127" s="12" t="s">
        <v>109</v>
      </c>
    </row>
    <row r="128" spans="1:8" x14ac:dyDescent="0.35">
      <c r="A128" s="2">
        <v>210305</v>
      </c>
      <c r="B128" t="s">
        <v>84</v>
      </c>
      <c r="C128" s="15">
        <v>46233</v>
      </c>
      <c r="D128" t="s">
        <v>45</v>
      </c>
      <c r="E128" s="12" t="s">
        <v>44</v>
      </c>
      <c r="F128" s="12">
        <v>56</v>
      </c>
      <c r="G128" s="12">
        <v>31</v>
      </c>
      <c r="H128" s="12" t="s">
        <v>109</v>
      </c>
    </row>
    <row r="129" spans="1:8" x14ac:dyDescent="0.35">
      <c r="A129" s="2">
        <v>210306</v>
      </c>
      <c r="B129" t="s">
        <v>76</v>
      </c>
      <c r="C129" s="15">
        <v>46233</v>
      </c>
      <c r="D129" t="s">
        <v>34</v>
      </c>
      <c r="E129" s="12" t="s">
        <v>33</v>
      </c>
      <c r="F129" s="12">
        <v>3</v>
      </c>
      <c r="G129" s="12">
        <v>31</v>
      </c>
      <c r="H129" s="12" t="s">
        <v>109</v>
      </c>
    </row>
    <row r="130" spans="1:8" x14ac:dyDescent="0.35">
      <c r="A130" s="2">
        <v>210307</v>
      </c>
      <c r="B130" t="s">
        <v>80</v>
      </c>
      <c r="C130" s="15">
        <v>46247</v>
      </c>
      <c r="D130" t="s">
        <v>34</v>
      </c>
      <c r="E130" s="12" t="s">
        <v>33</v>
      </c>
      <c r="F130" s="12">
        <v>3</v>
      </c>
      <c r="G130" s="12">
        <v>33</v>
      </c>
      <c r="H130" s="12" t="s">
        <v>109</v>
      </c>
    </row>
    <row r="131" spans="1:8" x14ac:dyDescent="0.35">
      <c r="A131" s="2"/>
      <c r="B131" t="s">
        <v>76</v>
      </c>
      <c r="C131" s="15">
        <v>46247</v>
      </c>
      <c r="D131" t="s">
        <v>34</v>
      </c>
      <c r="E131" s="12" t="s">
        <v>33</v>
      </c>
      <c r="F131" s="12">
        <v>3</v>
      </c>
      <c r="G131" s="12">
        <v>33</v>
      </c>
      <c r="H131" s="12" t="s">
        <v>109</v>
      </c>
    </row>
  </sheetData>
  <autoFilter ref="A1:H131" xr:uid="{CFE6FC47-AEF8-4267-BEA4-7A8BF72136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029-C75D-4BF9-932F-3B5C70F5B51A}">
  <dimension ref="A1:AE188"/>
  <sheetViews>
    <sheetView workbookViewId="0">
      <selection activeCell="K3" sqref="K3"/>
    </sheetView>
  </sheetViews>
  <sheetFormatPr baseColWidth="10" defaultRowHeight="14.5" x14ac:dyDescent="0.35"/>
  <cols>
    <col min="1" max="1" width="19.26953125" style="3" bestFit="1" customWidth="1"/>
    <col min="5" max="5" width="46.08984375" bestFit="1" customWidth="1"/>
    <col min="9" max="11" width="10.90625" style="3"/>
  </cols>
  <sheetData>
    <row r="1" spans="1:31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8" t="s">
        <v>108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 s="3">
        <v>46099</v>
      </c>
      <c r="B2">
        <v>201207</v>
      </c>
      <c r="C2" t="s">
        <v>30</v>
      </c>
      <c r="D2" t="s">
        <v>31</v>
      </c>
      <c r="E2" t="s">
        <v>32</v>
      </c>
      <c r="F2" t="s">
        <v>33</v>
      </c>
      <c r="G2">
        <v>8</v>
      </c>
      <c r="H2" t="s">
        <v>34</v>
      </c>
      <c r="I2" s="3">
        <v>46108</v>
      </c>
      <c r="J2" s="3">
        <v>46085.523923611108</v>
      </c>
      <c r="K2" s="9">
        <f>WEEKNUM(A2)</f>
        <v>12</v>
      </c>
      <c r="L2">
        <v>9519.2000000000007</v>
      </c>
      <c r="M2" t="s">
        <v>35</v>
      </c>
      <c r="N2">
        <v>0</v>
      </c>
      <c r="O2">
        <v>8</v>
      </c>
      <c r="P2">
        <v>0</v>
      </c>
      <c r="Q2">
        <v>0</v>
      </c>
      <c r="R2" t="s">
        <v>36</v>
      </c>
      <c r="S2" t="s">
        <v>37</v>
      </c>
      <c r="T2" t="s">
        <v>38</v>
      </c>
      <c r="U2">
        <v>1</v>
      </c>
      <c r="W2">
        <v>1</v>
      </c>
      <c r="X2">
        <v>0</v>
      </c>
      <c r="Y2">
        <v>0</v>
      </c>
      <c r="Z2" t="s">
        <v>39</v>
      </c>
      <c r="AA2" t="s">
        <v>40</v>
      </c>
      <c r="AB2" t="s">
        <v>41</v>
      </c>
    </row>
    <row r="3" spans="1:31" x14ac:dyDescent="0.35">
      <c r="A3" s="3">
        <v>46163</v>
      </c>
      <c r="B3">
        <v>205369</v>
      </c>
      <c r="C3" t="s">
        <v>42</v>
      </c>
      <c r="D3" t="s">
        <v>31</v>
      </c>
      <c r="E3" t="s">
        <v>43</v>
      </c>
      <c r="F3" t="s">
        <v>44</v>
      </c>
      <c r="G3">
        <v>17</v>
      </c>
      <c r="H3" t="s">
        <v>45</v>
      </c>
      <c r="I3" s="3">
        <v>46164</v>
      </c>
      <c r="J3" s="3">
        <v>46147.523032407407</v>
      </c>
      <c r="K3" s="9">
        <f t="shared" ref="K3:K66" si="0">WEEKNUM(A3)</f>
        <v>21</v>
      </c>
      <c r="L3">
        <v>10506</v>
      </c>
      <c r="M3" t="s">
        <v>35</v>
      </c>
      <c r="N3">
        <v>0</v>
      </c>
      <c r="O3">
        <v>17</v>
      </c>
      <c r="P3">
        <v>0</v>
      </c>
      <c r="Q3">
        <v>0</v>
      </c>
      <c r="R3" t="s">
        <v>36</v>
      </c>
      <c r="S3" t="s">
        <v>46</v>
      </c>
      <c r="T3" t="s">
        <v>38</v>
      </c>
      <c r="U3">
        <v>1</v>
      </c>
      <c r="W3">
        <v>1</v>
      </c>
      <c r="X3">
        <v>0</v>
      </c>
      <c r="Y3">
        <v>0</v>
      </c>
      <c r="Z3" t="s">
        <v>39</v>
      </c>
      <c r="AA3" t="s">
        <v>40</v>
      </c>
      <c r="AB3" t="s">
        <v>41</v>
      </c>
    </row>
    <row r="4" spans="1:31" x14ac:dyDescent="0.35">
      <c r="A4" s="3">
        <v>46163</v>
      </c>
      <c r="B4">
        <v>204896</v>
      </c>
      <c r="C4" t="s">
        <v>47</v>
      </c>
      <c r="D4" t="s">
        <v>31</v>
      </c>
      <c r="E4" t="s">
        <v>48</v>
      </c>
      <c r="F4" t="s">
        <v>44</v>
      </c>
      <c r="G4">
        <v>9</v>
      </c>
      <c r="H4" t="s">
        <v>45</v>
      </c>
      <c r="I4" s="3">
        <v>46164</v>
      </c>
      <c r="J4" s="3">
        <v>46140.556747685187</v>
      </c>
      <c r="K4" s="9">
        <f t="shared" si="0"/>
        <v>21</v>
      </c>
      <c r="L4">
        <v>5562</v>
      </c>
      <c r="M4" t="s">
        <v>35</v>
      </c>
      <c r="N4">
        <v>0</v>
      </c>
      <c r="O4">
        <v>9</v>
      </c>
      <c r="P4">
        <v>0</v>
      </c>
      <c r="Q4">
        <v>0</v>
      </c>
      <c r="R4" t="s">
        <v>36</v>
      </c>
      <c r="S4" t="s">
        <v>46</v>
      </c>
      <c r="T4" t="s">
        <v>38</v>
      </c>
      <c r="U4">
        <v>2</v>
      </c>
      <c r="W4">
        <v>1</v>
      </c>
      <c r="X4">
        <v>0</v>
      </c>
      <c r="Y4">
        <v>0</v>
      </c>
      <c r="Z4" t="s">
        <v>39</v>
      </c>
      <c r="AA4" t="s">
        <v>40</v>
      </c>
      <c r="AB4" t="s">
        <v>41</v>
      </c>
    </row>
    <row r="5" spans="1:31" x14ac:dyDescent="0.35">
      <c r="A5" s="3">
        <v>46163</v>
      </c>
      <c r="B5">
        <v>204896</v>
      </c>
      <c r="C5" t="s">
        <v>49</v>
      </c>
      <c r="D5" t="s">
        <v>31</v>
      </c>
      <c r="E5" t="s">
        <v>50</v>
      </c>
      <c r="F5" t="s">
        <v>44</v>
      </c>
      <c r="G5">
        <v>22</v>
      </c>
      <c r="H5" t="s">
        <v>45</v>
      </c>
      <c r="I5" s="3">
        <v>46164</v>
      </c>
      <c r="J5" s="3">
        <v>46140.556747685187</v>
      </c>
      <c r="K5" s="9">
        <f t="shared" si="0"/>
        <v>21</v>
      </c>
      <c r="L5">
        <v>13596</v>
      </c>
      <c r="M5" t="s">
        <v>35</v>
      </c>
      <c r="N5">
        <v>0</v>
      </c>
      <c r="O5">
        <v>22</v>
      </c>
      <c r="P5">
        <v>0</v>
      </c>
      <c r="Q5">
        <v>0</v>
      </c>
      <c r="R5" t="s">
        <v>36</v>
      </c>
      <c r="S5" t="s">
        <v>46</v>
      </c>
      <c r="T5" t="s">
        <v>38</v>
      </c>
      <c r="U5">
        <v>3</v>
      </c>
      <c r="W5">
        <v>1</v>
      </c>
      <c r="X5">
        <v>0</v>
      </c>
      <c r="Y5">
        <v>0</v>
      </c>
      <c r="Z5" t="s">
        <v>39</v>
      </c>
      <c r="AA5" t="s">
        <v>40</v>
      </c>
      <c r="AB5" t="s">
        <v>41</v>
      </c>
    </row>
    <row r="6" spans="1:31" x14ac:dyDescent="0.35">
      <c r="A6" s="3">
        <v>46163</v>
      </c>
      <c r="B6">
        <v>204896</v>
      </c>
      <c r="C6" t="s">
        <v>42</v>
      </c>
      <c r="D6" t="s">
        <v>31</v>
      </c>
      <c r="E6" t="s">
        <v>43</v>
      </c>
      <c r="F6" t="s">
        <v>44</v>
      </c>
      <c r="G6">
        <v>22</v>
      </c>
      <c r="H6" t="s">
        <v>45</v>
      </c>
      <c r="I6" s="3">
        <v>46164</v>
      </c>
      <c r="J6" s="3">
        <v>46140.556747685187</v>
      </c>
      <c r="K6" s="9">
        <f t="shared" si="0"/>
        <v>21</v>
      </c>
      <c r="L6">
        <v>13596</v>
      </c>
      <c r="M6" t="s">
        <v>35</v>
      </c>
      <c r="N6">
        <v>0</v>
      </c>
      <c r="O6">
        <v>22</v>
      </c>
      <c r="P6">
        <v>0</v>
      </c>
      <c r="Q6">
        <v>0</v>
      </c>
      <c r="R6" t="s">
        <v>36</v>
      </c>
      <c r="S6" t="s">
        <v>46</v>
      </c>
      <c r="T6" t="s">
        <v>38</v>
      </c>
      <c r="U6">
        <v>4</v>
      </c>
      <c r="W6">
        <v>1</v>
      </c>
      <c r="X6">
        <v>0</v>
      </c>
      <c r="Y6">
        <v>0</v>
      </c>
      <c r="Z6" t="s">
        <v>39</v>
      </c>
      <c r="AA6" t="s">
        <v>40</v>
      </c>
      <c r="AB6" t="s">
        <v>41</v>
      </c>
    </row>
    <row r="7" spans="1:31" x14ac:dyDescent="0.35">
      <c r="A7" s="3">
        <v>46163</v>
      </c>
      <c r="B7">
        <v>204876</v>
      </c>
      <c r="C7" t="s">
        <v>47</v>
      </c>
      <c r="D7" t="s">
        <v>31</v>
      </c>
      <c r="E7" t="s">
        <v>48</v>
      </c>
      <c r="F7" t="s">
        <v>44</v>
      </c>
      <c r="G7">
        <v>8</v>
      </c>
      <c r="H7" t="s">
        <v>34</v>
      </c>
      <c r="I7" s="3">
        <v>46164</v>
      </c>
      <c r="J7" s="3">
        <v>46140.53707175926</v>
      </c>
      <c r="K7" s="9">
        <f t="shared" si="0"/>
        <v>21</v>
      </c>
      <c r="L7">
        <v>4944</v>
      </c>
      <c r="M7" t="s">
        <v>35</v>
      </c>
      <c r="N7">
        <v>0</v>
      </c>
      <c r="O7">
        <v>8</v>
      </c>
      <c r="P7">
        <v>0</v>
      </c>
      <c r="Q7">
        <v>0</v>
      </c>
      <c r="R7" t="s">
        <v>36</v>
      </c>
      <c r="S7" t="s">
        <v>46</v>
      </c>
      <c r="T7" t="s">
        <v>38</v>
      </c>
      <c r="U7">
        <v>2</v>
      </c>
      <c r="W7">
        <v>1</v>
      </c>
      <c r="X7">
        <v>0</v>
      </c>
      <c r="Y7">
        <v>0</v>
      </c>
      <c r="Z7" t="s">
        <v>39</v>
      </c>
      <c r="AA7" t="s">
        <v>40</v>
      </c>
      <c r="AB7" t="s">
        <v>41</v>
      </c>
    </row>
    <row r="8" spans="1:31" x14ac:dyDescent="0.35">
      <c r="A8" s="3">
        <v>46163</v>
      </c>
      <c r="B8">
        <v>204876</v>
      </c>
      <c r="C8" t="s">
        <v>49</v>
      </c>
      <c r="D8" t="s">
        <v>31</v>
      </c>
      <c r="E8" t="s">
        <v>50</v>
      </c>
      <c r="F8" t="s">
        <v>44</v>
      </c>
      <c r="G8">
        <v>11</v>
      </c>
      <c r="H8" t="s">
        <v>34</v>
      </c>
      <c r="I8" s="3">
        <v>46164</v>
      </c>
      <c r="J8" s="3">
        <v>46140.53707175926</v>
      </c>
      <c r="K8" s="9">
        <f t="shared" si="0"/>
        <v>21</v>
      </c>
      <c r="L8">
        <v>6798</v>
      </c>
      <c r="M8" t="s">
        <v>35</v>
      </c>
      <c r="N8">
        <v>0</v>
      </c>
      <c r="O8">
        <v>11</v>
      </c>
      <c r="P8">
        <v>0</v>
      </c>
      <c r="Q8">
        <v>0</v>
      </c>
      <c r="R8" t="s">
        <v>36</v>
      </c>
      <c r="S8" t="s">
        <v>46</v>
      </c>
      <c r="T8" t="s">
        <v>38</v>
      </c>
      <c r="U8">
        <v>3</v>
      </c>
      <c r="W8">
        <v>1</v>
      </c>
      <c r="X8">
        <v>0</v>
      </c>
      <c r="Y8">
        <v>0</v>
      </c>
      <c r="Z8" t="s">
        <v>39</v>
      </c>
      <c r="AA8" t="s">
        <v>40</v>
      </c>
      <c r="AB8" t="s">
        <v>41</v>
      </c>
    </row>
    <row r="9" spans="1:31" x14ac:dyDescent="0.35">
      <c r="A9" s="3">
        <v>46163</v>
      </c>
      <c r="B9">
        <v>204876</v>
      </c>
      <c r="C9" t="s">
        <v>42</v>
      </c>
      <c r="D9" t="s">
        <v>31</v>
      </c>
      <c r="E9" t="s">
        <v>43</v>
      </c>
      <c r="F9" t="s">
        <v>44</v>
      </c>
      <c r="G9">
        <v>8</v>
      </c>
      <c r="H9" t="s">
        <v>34</v>
      </c>
      <c r="I9" s="3">
        <v>46164</v>
      </c>
      <c r="J9" s="3">
        <v>46140.53707175926</v>
      </c>
      <c r="K9" s="9">
        <f t="shared" si="0"/>
        <v>21</v>
      </c>
      <c r="L9">
        <v>4944</v>
      </c>
      <c r="M9" t="s">
        <v>35</v>
      </c>
      <c r="N9">
        <v>0</v>
      </c>
      <c r="O9">
        <v>8</v>
      </c>
      <c r="P9">
        <v>0</v>
      </c>
      <c r="Q9">
        <v>0</v>
      </c>
      <c r="R9" t="s">
        <v>36</v>
      </c>
      <c r="S9" t="s">
        <v>46</v>
      </c>
      <c r="T9" t="s">
        <v>38</v>
      </c>
      <c r="U9">
        <v>4</v>
      </c>
      <c r="W9">
        <v>1</v>
      </c>
      <c r="X9">
        <v>0</v>
      </c>
      <c r="Y9">
        <v>0</v>
      </c>
      <c r="Z9" t="s">
        <v>39</v>
      </c>
      <c r="AA9" t="s">
        <v>40</v>
      </c>
      <c r="AB9" t="s">
        <v>41</v>
      </c>
    </row>
    <row r="10" spans="1:31" x14ac:dyDescent="0.35">
      <c r="A10" s="3">
        <v>46163</v>
      </c>
      <c r="B10">
        <v>203957</v>
      </c>
      <c r="C10" t="s">
        <v>30</v>
      </c>
      <c r="D10" t="s">
        <v>31</v>
      </c>
      <c r="E10" t="s">
        <v>32</v>
      </c>
      <c r="F10" t="s">
        <v>33</v>
      </c>
      <c r="G10">
        <v>5</v>
      </c>
      <c r="H10" t="s">
        <v>45</v>
      </c>
      <c r="I10" s="3">
        <v>46164</v>
      </c>
      <c r="J10" s="3">
        <v>46126.411678240744</v>
      </c>
      <c r="K10" s="9">
        <f t="shared" si="0"/>
        <v>21</v>
      </c>
      <c r="L10">
        <v>5949.5</v>
      </c>
      <c r="M10" t="s">
        <v>35</v>
      </c>
      <c r="N10">
        <v>0</v>
      </c>
      <c r="O10">
        <v>5</v>
      </c>
      <c r="P10">
        <v>0</v>
      </c>
      <c r="Q10">
        <v>0</v>
      </c>
      <c r="R10" t="s">
        <v>36</v>
      </c>
      <c r="S10" t="s">
        <v>46</v>
      </c>
      <c r="T10" t="s">
        <v>38</v>
      </c>
      <c r="U10">
        <v>1</v>
      </c>
      <c r="W10">
        <v>1</v>
      </c>
      <c r="X10">
        <v>0</v>
      </c>
      <c r="Y10">
        <v>0</v>
      </c>
      <c r="Z10" t="s">
        <v>39</v>
      </c>
      <c r="AA10" t="s">
        <v>40</v>
      </c>
      <c r="AB10" t="s">
        <v>41</v>
      </c>
    </row>
    <row r="11" spans="1:31" x14ac:dyDescent="0.35">
      <c r="A11" s="3">
        <v>46170</v>
      </c>
      <c r="B11">
        <v>206528</v>
      </c>
      <c r="C11" t="s">
        <v>51</v>
      </c>
      <c r="D11" t="s">
        <v>31</v>
      </c>
      <c r="E11" t="s">
        <v>52</v>
      </c>
      <c r="F11" t="s">
        <v>44</v>
      </c>
      <c r="G11">
        <v>11</v>
      </c>
      <c r="H11" t="s">
        <v>45</v>
      </c>
      <c r="I11" s="3">
        <v>46171</v>
      </c>
      <c r="J11" s="3">
        <v>46161.772118055553</v>
      </c>
      <c r="K11" s="9">
        <f t="shared" si="0"/>
        <v>22</v>
      </c>
      <c r="L11">
        <v>6969.6</v>
      </c>
      <c r="M11" t="s">
        <v>35</v>
      </c>
      <c r="N11">
        <v>0</v>
      </c>
      <c r="O11">
        <v>11</v>
      </c>
      <c r="P11">
        <v>0</v>
      </c>
      <c r="Q11">
        <v>0</v>
      </c>
      <c r="R11" t="s">
        <v>36</v>
      </c>
      <c r="S11" t="s">
        <v>46</v>
      </c>
      <c r="T11" t="s">
        <v>38</v>
      </c>
      <c r="U11">
        <v>1</v>
      </c>
      <c r="W11">
        <v>1</v>
      </c>
      <c r="X11">
        <v>0</v>
      </c>
      <c r="Y11">
        <v>0</v>
      </c>
      <c r="Z11" t="s">
        <v>39</v>
      </c>
      <c r="AA11" t="s">
        <v>40</v>
      </c>
      <c r="AB11" t="s">
        <v>41</v>
      </c>
    </row>
    <row r="12" spans="1:31" x14ac:dyDescent="0.35">
      <c r="A12" s="3">
        <v>46170</v>
      </c>
      <c r="B12">
        <v>206528</v>
      </c>
      <c r="C12" t="s">
        <v>53</v>
      </c>
      <c r="D12" t="s">
        <v>31</v>
      </c>
      <c r="E12" t="s">
        <v>54</v>
      </c>
      <c r="F12" t="s">
        <v>44</v>
      </c>
      <c r="G12">
        <v>10</v>
      </c>
      <c r="H12" t="s">
        <v>45</v>
      </c>
      <c r="I12" s="3">
        <v>46171</v>
      </c>
      <c r="J12" s="3">
        <v>46161.772118055553</v>
      </c>
      <c r="K12" s="9">
        <f t="shared" si="0"/>
        <v>22</v>
      </c>
      <c r="L12">
        <v>11125.7</v>
      </c>
      <c r="M12" t="s">
        <v>35</v>
      </c>
      <c r="N12">
        <v>0</v>
      </c>
      <c r="O12">
        <v>10</v>
      </c>
      <c r="P12">
        <v>0</v>
      </c>
      <c r="Q12">
        <v>0</v>
      </c>
      <c r="R12" t="s">
        <v>36</v>
      </c>
      <c r="S12" t="s">
        <v>46</v>
      </c>
      <c r="T12" t="s">
        <v>38</v>
      </c>
      <c r="U12">
        <v>2</v>
      </c>
      <c r="W12">
        <v>1</v>
      </c>
      <c r="X12">
        <v>0</v>
      </c>
      <c r="Y12">
        <v>0</v>
      </c>
      <c r="Z12" t="s">
        <v>39</v>
      </c>
      <c r="AA12" t="s">
        <v>40</v>
      </c>
      <c r="AB12" t="s">
        <v>41</v>
      </c>
    </row>
    <row r="13" spans="1:31" x14ac:dyDescent="0.35">
      <c r="A13" s="3">
        <v>46170</v>
      </c>
      <c r="B13">
        <v>206528</v>
      </c>
      <c r="C13" t="s">
        <v>55</v>
      </c>
      <c r="D13" t="s">
        <v>31</v>
      </c>
      <c r="E13" t="s">
        <v>56</v>
      </c>
      <c r="F13" t="s">
        <v>44</v>
      </c>
      <c r="G13">
        <v>25</v>
      </c>
      <c r="H13" t="s">
        <v>45</v>
      </c>
      <c r="I13" s="3">
        <v>46171</v>
      </c>
      <c r="J13" s="3">
        <v>46161.772118055553</v>
      </c>
      <c r="K13" s="9">
        <f t="shared" si="0"/>
        <v>22</v>
      </c>
      <c r="L13">
        <v>23375</v>
      </c>
      <c r="M13" t="s">
        <v>35</v>
      </c>
      <c r="N13">
        <v>0</v>
      </c>
      <c r="O13">
        <v>25</v>
      </c>
      <c r="P13">
        <v>0</v>
      </c>
      <c r="Q13">
        <v>0</v>
      </c>
      <c r="R13" t="s">
        <v>36</v>
      </c>
      <c r="S13" t="s">
        <v>46</v>
      </c>
      <c r="T13" t="s">
        <v>38</v>
      </c>
      <c r="U13">
        <v>4</v>
      </c>
      <c r="W13">
        <v>1</v>
      </c>
      <c r="X13">
        <v>0</v>
      </c>
      <c r="Y13">
        <v>0</v>
      </c>
      <c r="Z13" t="s">
        <v>39</v>
      </c>
      <c r="AA13" t="s">
        <v>40</v>
      </c>
      <c r="AB13" t="s">
        <v>41</v>
      </c>
    </row>
    <row r="14" spans="1:31" x14ac:dyDescent="0.35">
      <c r="A14" s="3">
        <v>46170</v>
      </c>
      <c r="B14">
        <v>206528</v>
      </c>
      <c r="C14" t="s">
        <v>55</v>
      </c>
      <c r="D14" t="s">
        <v>31</v>
      </c>
      <c r="E14" t="s">
        <v>56</v>
      </c>
      <c r="F14" t="s">
        <v>44</v>
      </c>
      <c r="G14">
        <v>121</v>
      </c>
      <c r="H14" t="s">
        <v>45</v>
      </c>
      <c r="I14" s="3">
        <v>46171</v>
      </c>
      <c r="J14" s="3">
        <v>46161.772118055553</v>
      </c>
      <c r="K14" s="9">
        <f t="shared" si="0"/>
        <v>22</v>
      </c>
      <c r="L14">
        <v>113135</v>
      </c>
      <c r="M14" t="s">
        <v>35</v>
      </c>
      <c r="N14">
        <v>0</v>
      </c>
      <c r="O14">
        <v>121</v>
      </c>
      <c r="P14">
        <v>0</v>
      </c>
      <c r="Q14">
        <v>0</v>
      </c>
      <c r="R14" t="s">
        <v>36</v>
      </c>
      <c r="S14" t="s">
        <v>46</v>
      </c>
      <c r="T14" t="s">
        <v>38</v>
      </c>
      <c r="U14">
        <v>5</v>
      </c>
      <c r="W14">
        <v>1</v>
      </c>
      <c r="X14">
        <v>0</v>
      </c>
      <c r="Y14">
        <v>0</v>
      </c>
      <c r="Z14" t="s">
        <v>39</v>
      </c>
      <c r="AA14" t="s">
        <v>40</v>
      </c>
      <c r="AB14" t="s">
        <v>41</v>
      </c>
    </row>
    <row r="15" spans="1:31" x14ac:dyDescent="0.35">
      <c r="A15" s="3">
        <v>46170</v>
      </c>
      <c r="B15">
        <v>206528</v>
      </c>
      <c r="C15" t="s">
        <v>57</v>
      </c>
      <c r="D15" t="s">
        <v>31</v>
      </c>
      <c r="E15" t="s">
        <v>58</v>
      </c>
      <c r="F15" t="s">
        <v>44</v>
      </c>
      <c r="G15">
        <v>30</v>
      </c>
      <c r="H15" t="s">
        <v>45</v>
      </c>
      <c r="I15" s="3">
        <v>46171</v>
      </c>
      <c r="J15" s="3">
        <v>46161.772118055553</v>
      </c>
      <c r="K15" s="9">
        <f t="shared" si="0"/>
        <v>22</v>
      </c>
      <c r="L15">
        <v>75900</v>
      </c>
      <c r="M15" t="s">
        <v>35</v>
      </c>
      <c r="N15">
        <v>0</v>
      </c>
      <c r="O15">
        <v>30</v>
      </c>
      <c r="P15">
        <v>0</v>
      </c>
      <c r="Q15">
        <v>0</v>
      </c>
      <c r="R15" t="s">
        <v>36</v>
      </c>
      <c r="S15" t="s">
        <v>46</v>
      </c>
      <c r="T15" t="s">
        <v>38</v>
      </c>
      <c r="U15">
        <v>6</v>
      </c>
      <c r="W15">
        <v>1</v>
      </c>
      <c r="X15">
        <v>0</v>
      </c>
      <c r="Y15">
        <v>0</v>
      </c>
      <c r="Z15" t="s">
        <v>39</v>
      </c>
      <c r="AA15" t="s">
        <v>40</v>
      </c>
      <c r="AB15" t="s">
        <v>41</v>
      </c>
    </row>
    <row r="16" spans="1:31" x14ac:dyDescent="0.35">
      <c r="A16" s="3">
        <v>46170</v>
      </c>
      <c r="B16">
        <v>206528</v>
      </c>
      <c r="C16" t="s">
        <v>57</v>
      </c>
      <c r="D16" t="s">
        <v>31</v>
      </c>
      <c r="E16" t="s">
        <v>58</v>
      </c>
      <c r="F16" t="s">
        <v>44</v>
      </c>
      <c r="G16">
        <v>40</v>
      </c>
      <c r="H16" t="s">
        <v>45</v>
      </c>
      <c r="I16" s="3">
        <v>46171</v>
      </c>
      <c r="J16" s="3">
        <v>46161.772118055553</v>
      </c>
      <c r="K16" s="9">
        <f t="shared" si="0"/>
        <v>22</v>
      </c>
      <c r="L16">
        <v>101200</v>
      </c>
      <c r="M16" t="s">
        <v>35</v>
      </c>
      <c r="N16">
        <v>0</v>
      </c>
      <c r="O16">
        <v>40</v>
      </c>
      <c r="P16">
        <v>0</v>
      </c>
      <c r="Q16">
        <v>0</v>
      </c>
      <c r="R16" t="s">
        <v>36</v>
      </c>
      <c r="S16" t="s">
        <v>46</v>
      </c>
      <c r="T16" t="s">
        <v>38</v>
      </c>
      <c r="U16">
        <v>7</v>
      </c>
      <c r="W16">
        <v>1</v>
      </c>
      <c r="X16">
        <v>0</v>
      </c>
      <c r="Y16">
        <v>0</v>
      </c>
      <c r="Z16" t="s">
        <v>39</v>
      </c>
      <c r="AA16" t="s">
        <v>40</v>
      </c>
      <c r="AB16" t="s">
        <v>41</v>
      </c>
    </row>
    <row r="17" spans="1:28" x14ac:dyDescent="0.35">
      <c r="A17" s="3">
        <v>46170</v>
      </c>
      <c r="B17">
        <v>206447</v>
      </c>
      <c r="C17" t="s">
        <v>51</v>
      </c>
      <c r="D17" t="s">
        <v>31</v>
      </c>
      <c r="E17" t="s">
        <v>52</v>
      </c>
      <c r="F17" t="s">
        <v>44</v>
      </c>
      <c r="G17">
        <v>6</v>
      </c>
      <c r="H17" t="s">
        <v>34</v>
      </c>
      <c r="I17" s="3">
        <v>46171</v>
      </c>
      <c r="J17" s="3">
        <v>46161.693136574075</v>
      </c>
      <c r="K17" s="9">
        <f t="shared" si="0"/>
        <v>22</v>
      </c>
      <c r="L17">
        <v>3456</v>
      </c>
      <c r="M17" t="s">
        <v>35</v>
      </c>
      <c r="N17">
        <v>0</v>
      </c>
      <c r="O17">
        <v>6</v>
      </c>
      <c r="P17">
        <v>0</v>
      </c>
      <c r="Q17">
        <v>0</v>
      </c>
      <c r="R17" t="s">
        <v>36</v>
      </c>
      <c r="S17" t="s">
        <v>46</v>
      </c>
      <c r="T17" t="s">
        <v>38</v>
      </c>
      <c r="U17">
        <v>1</v>
      </c>
      <c r="W17">
        <v>1</v>
      </c>
      <c r="X17">
        <v>0</v>
      </c>
      <c r="Y17">
        <v>0</v>
      </c>
      <c r="Z17" t="s">
        <v>39</v>
      </c>
      <c r="AA17" t="s">
        <v>40</v>
      </c>
      <c r="AB17" t="s">
        <v>41</v>
      </c>
    </row>
    <row r="18" spans="1:28" x14ac:dyDescent="0.35">
      <c r="A18" s="3">
        <v>46170</v>
      </c>
      <c r="B18">
        <v>206447</v>
      </c>
      <c r="C18" t="s">
        <v>59</v>
      </c>
      <c r="D18" t="s">
        <v>31</v>
      </c>
      <c r="E18" t="s">
        <v>60</v>
      </c>
      <c r="F18" t="s">
        <v>44</v>
      </c>
      <c r="G18">
        <v>46</v>
      </c>
      <c r="H18" t="s">
        <v>34</v>
      </c>
      <c r="I18" s="3">
        <v>46171</v>
      </c>
      <c r="J18" s="3">
        <v>46161.693136574075</v>
      </c>
      <c r="K18" s="9">
        <f t="shared" si="0"/>
        <v>22</v>
      </c>
      <c r="L18">
        <v>25852</v>
      </c>
      <c r="M18" t="s">
        <v>35</v>
      </c>
      <c r="N18">
        <v>0</v>
      </c>
      <c r="O18">
        <v>46</v>
      </c>
      <c r="P18">
        <v>0</v>
      </c>
      <c r="Q18">
        <v>0</v>
      </c>
      <c r="R18" t="s">
        <v>36</v>
      </c>
      <c r="S18" t="s">
        <v>46</v>
      </c>
      <c r="T18" t="s">
        <v>38</v>
      </c>
      <c r="U18">
        <v>2</v>
      </c>
      <c r="W18">
        <v>1</v>
      </c>
      <c r="X18">
        <v>0</v>
      </c>
      <c r="Y18">
        <v>0</v>
      </c>
      <c r="Z18" t="s">
        <v>39</v>
      </c>
      <c r="AA18" t="s">
        <v>40</v>
      </c>
      <c r="AB18" t="s">
        <v>41</v>
      </c>
    </row>
    <row r="19" spans="1:28" x14ac:dyDescent="0.35">
      <c r="A19" s="3">
        <v>46170</v>
      </c>
      <c r="B19">
        <v>206447</v>
      </c>
      <c r="C19" t="s">
        <v>61</v>
      </c>
      <c r="D19" t="s">
        <v>31</v>
      </c>
      <c r="E19" t="s">
        <v>62</v>
      </c>
      <c r="F19" t="s">
        <v>44</v>
      </c>
      <c r="G19">
        <v>21</v>
      </c>
      <c r="H19" t="s">
        <v>34</v>
      </c>
      <c r="I19" s="3">
        <v>46171</v>
      </c>
      <c r="J19" s="3">
        <v>46161.693136574075</v>
      </c>
      <c r="K19" s="9">
        <f t="shared" si="0"/>
        <v>22</v>
      </c>
      <c r="L19">
        <v>19511.939999999999</v>
      </c>
      <c r="M19" t="s">
        <v>35</v>
      </c>
      <c r="N19">
        <v>0</v>
      </c>
      <c r="O19">
        <v>21</v>
      </c>
      <c r="P19">
        <v>0</v>
      </c>
      <c r="Q19">
        <v>0</v>
      </c>
      <c r="R19" t="s">
        <v>36</v>
      </c>
      <c r="S19" t="s">
        <v>46</v>
      </c>
      <c r="T19" t="s">
        <v>38</v>
      </c>
      <c r="U19">
        <v>3</v>
      </c>
      <c r="W19">
        <v>1</v>
      </c>
      <c r="X19">
        <v>0</v>
      </c>
      <c r="Y19">
        <v>0</v>
      </c>
      <c r="Z19" t="s">
        <v>39</v>
      </c>
      <c r="AA19" t="s">
        <v>40</v>
      </c>
      <c r="AB19" t="s">
        <v>41</v>
      </c>
    </row>
    <row r="20" spans="1:28" x14ac:dyDescent="0.35">
      <c r="A20" s="3">
        <v>46170</v>
      </c>
      <c r="B20">
        <v>206447</v>
      </c>
      <c r="C20" t="s">
        <v>30</v>
      </c>
      <c r="D20" t="s">
        <v>31</v>
      </c>
      <c r="E20" t="s">
        <v>32</v>
      </c>
      <c r="F20" t="s">
        <v>33</v>
      </c>
      <c r="G20">
        <v>5</v>
      </c>
      <c r="H20" t="s">
        <v>34</v>
      </c>
      <c r="I20" s="3">
        <v>46171</v>
      </c>
      <c r="J20" s="3">
        <v>46161.693136574075</v>
      </c>
      <c r="K20" s="9">
        <f t="shared" si="0"/>
        <v>22</v>
      </c>
      <c r="L20">
        <v>0</v>
      </c>
      <c r="M20" t="s">
        <v>35</v>
      </c>
      <c r="N20">
        <v>0</v>
      </c>
      <c r="O20">
        <v>5</v>
      </c>
      <c r="P20">
        <v>0</v>
      </c>
      <c r="Q20">
        <v>0</v>
      </c>
      <c r="R20" t="s">
        <v>36</v>
      </c>
      <c r="S20" t="s">
        <v>46</v>
      </c>
      <c r="T20" t="s">
        <v>38</v>
      </c>
      <c r="U20">
        <v>4</v>
      </c>
      <c r="W20">
        <v>1</v>
      </c>
      <c r="X20">
        <v>0</v>
      </c>
      <c r="Y20">
        <v>0</v>
      </c>
      <c r="Z20" t="s">
        <v>39</v>
      </c>
      <c r="AA20" t="s">
        <v>40</v>
      </c>
      <c r="AB20" t="s">
        <v>41</v>
      </c>
    </row>
    <row r="21" spans="1:28" x14ac:dyDescent="0.35">
      <c r="A21" s="3">
        <v>46170</v>
      </c>
      <c r="B21">
        <v>206447</v>
      </c>
      <c r="C21" t="s">
        <v>63</v>
      </c>
      <c r="D21" t="s">
        <v>31</v>
      </c>
      <c r="E21" t="s">
        <v>64</v>
      </c>
      <c r="F21" t="s">
        <v>44</v>
      </c>
      <c r="G21">
        <v>1</v>
      </c>
      <c r="H21" t="s">
        <v>34</v>
      </c>
      <c r="I21" s="3">
        <v>46171</v>
      </c>
      <c r="J21" s="3">
        <v>46161.693136574075</v>
      </c>
      <c r="K21" s="9">
        <f t="shared" si="0"/>
        <v>22</v>
      </c>
      <c r="L21">
        <v>547.5</v>
      </c>
      <c r="M21" t="s">
        <v>35</v>
      </c>
      <c r="N21">
        <v>0</v>
      </c>
      <c r="O21">
        <v>1</v>
      </c>
      <c r="P21">
        <v>0</v>
      </c>
      <c r="Q21">
        <v>0</v>
      </c>
      <c r="R21" t="s">
        <v>36</v>
      </c>
      <c r="S21" t="s">
        <v>46</v>
      </c>
      <c r="T21" t="s">
        <v>38</v>
      </c>
      <c r="U21">
        <v>5</v>
      </c>
      <c r="W21">
        <v>1</v>
      </c>
      <c r="X21">
        <v>0</v>
      </c>
      <c r="Y21">
        <v>0</v>
      </c>
      <c r="Z21" t="s">
        <v>39</v>
      </c>
      <c r="AA21" t="s">
        <v>40</v>
      </c>
      <c r="AB21" t="s">
        <v>41</v>
      </c>
    </row>
    <row r="22" spans="1:28" x14ac:dyDescent="0.35">
      <c r="A22" s="3">
        <v>46170</v>
      </c>
      <c r="B22">
        <v>206447</v>
      </c>
      <c r="C22" t="s">
        <v>65</v>
      </c>
      <c r="D22" t="s">
        <v>31</v>
      </c>
      <c r="E22" t="s">
        <v>66</v>
      </c>
      <c r="F22" t="s">
        <v>44</v>
      </c>
      <c r="G22">
        <v>1</v>
      </c>
      <c r="H22" t="s">
        <v>34</v>
      </c>
      <c r="I22" s="3">
        <v>46171</v>
      </c>
      <c r="J22" s="3">
        <v>46161.693136574075</v>
      </c>
      <c r="K22" s="9">
        <f t="shared" si="0"/>
        <v>22</v>
      </c>
      <c r="L22">
        <v>2687.95</v>
      </c>
      <c r="M22" t="s">
        <v>35</v>
      </c>
      <c r="N22">
        <v>0</v>
      </c>
      <c r="O22">
        <v>1</v>
      </c>
      <c r="P22">
        <v>0</v>
      </c>
      <c r="Q22">
        <v>0</v>
      </c>
      <c r="R22" t="s">
        <v>36</v>
      </c>
      <c r="S22" t="s">
        <v>46</v>
      </c>
      <c r="T22" t="s">
        <v>38</v>
      </c>
      <c r="U22">
        <v>6</v>
      </c>
      <c r="W22">
        <v>1</v>
      </c>
      <c r="X22">
        <v>0</v>
      </c>
      <c r="Y22">
        <v>0</v>
      </c>
      <c r="Z22" t="s">
        <v>39</v>
      </c>
      <c r="AA22" t="s">
        <v>40</v>
      </c>
      <c r="AB22" t="s">
        <v>41</v>
      </c>
    </row>
    <row r="23" spans="1:28" x14ac:dyDescent="0.35">
      <c r="A23" s="3">
        <v>46170</v>
      </c>
      <c r="B23">
        <v>206447</v>
      </c>
      <c r="C23" t="s">
        <v>57</v>
      </c>
      <c r="D23" t="s">
        <v>31</v>
      </c>
      <c r="E23" t="s">
        <v>58</v>
      </c>
      <c r="F23" t="s">
        <v>44</v>
      </c>
      <c r="G23">
        <v>1</v>
      </c>
      <c r="H23" t="s">
        <v>34</v>
      </c>
      <c r="I23" s="3">
        <v>46171</v>
      </c>
      <c r="J23" s="3">
        <v>46161.693136574075</v>
      </c>
      <c r="K23" s="9">
        <f t="shared" si="0"/>
        <v>22</v>
      </c>
      <c r="L23">
        <v>2300</v>
      </c>
      <c r="M23" t="s">
        <v>35</v>
      </c>
      <c r="N23">
        <v>0</v>
      </c>
      <c r="O23">
        <v>1</v>
      </c>
      <c r="P23">
        <v>0</v>
      </c>
      <c r="Q23">
        <v>0</v>
      </c>
      <c r="R23" t="s">
        <v>36</v>
      </c>
      <c r="S23" t="s">
        <v>46</v>
      </c>
      <c r="T23" t="s">
        <v>38</v>
      </c>
      <c r="U23">
        <v>7</v>
      </c>
      <c r="W23">
        <v>1</v>
      </c>
      <c r="X23">
        <v>0</v>
      </c>
      <c r="Y23">
        <v>0</v>
      </c>
      <c r="Z23" t="s">
        <v>39</v>
      </c>
      <c r="AA23" t="s">
        <v>40</v>
      </c>
      <c r="AB23" t="s">
        <v>41</v>
      </c>
    </row>
    <row r="24" spans="1:28" x14ac:dyDescent="0.35">
      <c r="A24" s="3">
        <v>46170</v>
      </c>
      <c r="B24">
        <v>206447</v>
      </c>
      <c r="C24" t="s">
        <v>49</v>
      </c>
      <c r="D24" t="s">
        <v>31</v>
      </c>
      <c r="E24" t="s">
        <v>50</v>
      </c>
      <c r="F24" t="s">
        <v>44</v>
      </c>
      <c r="G24">
        <v>9</v>
      </c>
      <c r="H24" t="s">
        <v>34</v>
      </c>
      <c r="I24" s="3">
        <v>46171</v>
      </c>
      <c r="J24" s="3">
        <v>46161.693136574075</v>
      </c>
      <c r="K24" s="9">
        <f t="shared" si="0"/>
        <v>22</v>
      </c>
      <c r="L24">
        <v>5562</v>
      </c>
      <c r="M24" t="s">
        <v>35</v>
      </c>
      <c r="N24">
        <v>0</v>
      </c>
      <c r="O24">
        <v>9</v>
      </c>
      <c r="P24">
        <v>0</v>
      </c>
      <c r="Q24">
        <v>0</v>
      </c>
      <c r="R24" t="s">
        <v>36</v>
      </c>
      <c r="S24" t="s">
        <v>46</v>
      </c>
      <c r="T24" t="s">
        <v>38</v>
      </c>
      <c r="U24">
        <v>8</v>
      </c>
      <c r="W24">
        <v>1</v>
      </c>
      <c r="X24">
        <v>0</v>
      </c>
      <c r="Y24">
        <v>0</v>
      </c>
      <c r="Z24" t="s">
        <v>39</v>
      </c>
      <c r="AA24" t="s">
        <v>40</v>
      </c>
      <c r="AB24" t="s">
        <v>41</v>
      </c>
    </row>
    <row r="25" spans="1:28" x14ac:dyDescent="0.35">
      <c r="A25" s="3">
        <v>46170</v>
      </c>
      <c r="B25">
        <v>206447</v>
      </c>
      <c r="C25" t="s">
        <v>42</v>
      </c>
      <c r="D25" t="s">
        <v>31</v>
      </c>
      <c r="E25" t="s">
        <v>43</v>
      </c>
      <c r="F25" t="s">
        <v>44</v>
      </c>
      <c r="G25">
        <v>11</v>
      </c>
      <c r="H25" t="s">
        <v>34</v>
      </c>
      <c r="I25" s="3">
        <v>46171</v>
      </c>
      <c r="J25" s="3">
        <v>46161.693136574075</v>
      </c>
      <c r="K25" s="9">
        <f t="shared" si="0"/>
        <v>22</v>
      </c>
      <c r="L25">
        <v>6798</v>
      </c>
      <c r="M25" t="s">
        <v>35</v>
      </c>
      <c r="N25">
        <v>0</v>
      </c>
      <c r="O25">
        <v>11</v>
      </c>
      <c r="P25">
        <v>0</v>
      </c>
      <c r="Q25">
        <v>0</v>
      </c>
      <c r="R25" t="s">
        <v>36</v>
      </c>
      <c r="S25" t="s">
        <v>46</v>
      </c>
      <c r="T25" t="s">
        <v>38</v>
      </c>
      <c r="U25">
        <v>9</v>
      </c>
      <c r="W25">
        <v>1</v>
      </c>
      <c r="X25">
        <v>0</v>
      </c>
      <c r="Y25">
        <v>0</v>
      </c>
      <c r="Z25" t="s">
        <v>39</v>
      </c>
      <c r="AA25" t="s">
        <v>40</v>
      </c>
      <c r="AB25" t="s">
        <v>41</v>
      </c>
    </row>
    <row r="26" spans="1:28" x14ac:dyDescent="0.35">
      <c r="A26" s="3">
        <v>46170</v>
      </c>
      <c r="B26">
        <v>206447</v>
      </c>
      <c r="C26" t="s">
        <v>67</v>
      </c>
      <c r="D26" t="s">
        <v>31</v>
      </c>
      <c r="E26" t="s">
        <v>68</v>
      </c>
      <c r="F26" t="s">
        <v>44</v>
      </c>
      <c r="G26">
        <v>4</v>
      </c>
      <c r="H26" t="s">
        <v>34</v>
      </c>
      <c r="I26" s="3">
        <v>46171</v>
      </c>
      <c r="J26" s="3">
        <v>46161.693136574075</v>
      </c>
      <c r="K26" s="9">
        <f t="shared" si="0"/>
        <v>22</v>
      </c>
      <c r="L26">
        <v>3440</v>
      </c>
      <c r="M26" t="s">
        <v>35</v>
      </c>
      <c r="N26">
        <v>0</v>
      </c>
      <c r="O26">
        <v>4</v>
      </c>
      <c r="P26">
        <v>0</v>
      </c>
      <c r="Q26">
        <v>0</v>
      </c>
      <c r="R26" t="s">
        <v>36</v>
      </c>
      <c r="S26" t="s">
        <v>46</v>
      </c>
      <c r="T26" t="s">
        <v>38</v>
      </c>
      <c r="U26">
        <v>10</v>
      </c>
      <c r="W26">
        <v>1</v>
      </c>
      <c r="X26">
        <v>0</v>
      </c>
      <c r="Y26">
        <v>0</v>
      </c>
      <c r="Z26" t="s">
        <v>39</v>
      </c>
      <c r="AA26" t="s">
        <v>40</v>
      </c>
      <c r="AB26" t="s">
        <v>41</v>
      </c>
    </row>
    <row r="27" spans="1:28" x14ac:dyDescent="0.35">
      <c r="A27" s="3">
        <v>46170</v>
      </c>
      <c r="B27">
        <v>206429</v>
      </c>
      <c r="C27" t="s">
        <v>30</v>
      </c>
      <c r="D27" t="s">
        <v>31</v>
      </c>
      <c r="E27" t="s">
        <v>32</v>
      </c>
      <c r="F27" t="s">
        <v>33</v>
      </c>
      <c r="G27">
        <v>24</v>
      </c>
      <c r="H27" t="s">
        <v>34</v>
      </c>
      <c r="I27" s="3">
        <v>46171</v>
      </c>
      <c r="J27" s="3">
        <v>46161.513993055552</v>
      </c>
      <c r="K27" s="9">
        <f t="shared" si="0"/>
        <v>22</v>
      </c>
      <c r="L27">
        <v>31413.360000000001</v>
      </c>
      <c r="M27" t="s">
        <v>35</v>
      </c>
      <c r="N27">
        <v>0</v>
      </c>
      <c r="O27">
        <v>24</v>
      </c>
      <c r="P27">
        <v>0</v>
      </c>
      <c r="Q27">
        <v>0</v>
      </c>
      <c r="R27" t="s">
        <v>36</v>
      </c>
      <c r="S27" t="s">
        <v>46</v>
      </c>
      <c r="T27" t="s">
        <v>38</v>
      </c>
      <c r="U27">
        <v>1</v>
      </c>
      <c r="W27">
        <v>1</v>
      </c>
      <c r="X27">
        <v>0</v>
      </c>
      <c r="Y27">
        <v>0</v>
      </c>
      <c r="Z27" t="s">
        <v>39</v>
      </c>
      <c r="AA27" t="s">
        <v>40</v>
      </c>
      <c r="AB27" t="s">
        <v>41</v>
      </c>
    </row>
    <row r="28" spans="1:28" x14ac:dyDescent="0.35">
      <c r="A28" s="3">
        <v>46177</v>
      </c>
      <c r="B28">
        <v>205370</v>
      </c>
      <c r="C28" t="s">
        <v>69</v>
      </c>
      <c r="D28" t="s">
        <v>31</v>
      </c>
      <c r="E28" t="s">
        <v>70</v>
      </c>
      <c r="F28" t="s">
        <v>33</v>
      </c>
      <c r="G28">
        <v>2</v>
      </c>
      <c r="H28" t="s">
        <v>34</v>
      </c>
      <c r="I28" s="3">
        <v>46178</v>
      </c>
      <c r="J28" s="3">
        <v>46147.524131944447</v>
      </c>
      <c r="K28" s="9">
        <f t="shared" si="0"/>
        <v>23</v>
      </c>
      <c r="L28">
        <v>96</v>
      </c>
      <c r="M28" t="s">
        <v>35</v>
      </c>
      <c r="N28">
        <v>0</v>
      </c>
      <c r="O28">
        <v>2</v>
      </c>
      <c r="P28">
        <v>0</v>
      </c>
      <c r="Q28">
        <v>0</v>
      </c>
      <c r="R28" t="s">
        <v>36</v>
      </c>
      <c r="S28" t="s">
        <v>46</v>
      </c>
      <c r="T28" t="s">
        <v>38</v>
      </c>
      <c r="U28">
        <v>1</v>
      </c>
      <c r="W28">
        <v>1</v>
      </c>
      <c r="X28">
        <v>0</v>
      </c>
      <c r="Y28">
        <v>0</v>
      </c>
      <c r="Z28" t="s">
        <v>39</v>
      </c>
      <c r="AA28" t="s">
        <v>40</v>
      </c>
      <c r="AB28" t="s">
        <v>41</v>
      </c>
    </row>
    <row r="29" spans="1:28" x14ac:dyDescent="0.35">
      <c r="A29" s="3">
        <v>46184</v>
      </c>
      <c r="B29">
        <v>206845</v>
      </c>
      <c r="C29" t="s">
        <v>71</v>
      </c>
      <c r="D29" t="s">
        <v>31</v>
      </c>
      <c r="E29" t="s">
        <v>72</v>
      </c>
      <c r="F29" t="s">
        <v>44</v>
      </c>
      <c r="G29">
        <v>300</v>
      </c>
      <c r="H29" t="s">
        <v>34</v>
      </c>
      <c r="I29" s="3">
        <v>46185</v>
      </c>
      <c r="J29" s="3">
        <v>46168.515532407408</v>
      </c>
      <c r="K29" s="9">
        <f t="shared" si="0"/>
        <v>24</v>
      </c>
      <c r="L29">
        <v>162804</v>
      </c>
      <c r="M29" t="s">
        <v>35</v>
      </c>
      <c r="N29">
        <v>0</v>
      </c>
      <c r="O29">
        <v>300</v>
      </c>
      <c r="P29">
        <v>0</v>
      </c>
      <c r="Q29">
        <v>0</v>
      </c>
      <c r="R29" t="s">
        <v>36</v>
      </c>
      <c r="S29" t="s">
        <v>46</v>
      </c>
      <c r="T29" t="s">
        <v>38</v>
      </c>
      <c r="U29">
        <v>1</v>
      </c>
      <c r="W29">
        <v>1</v>
      </c>
      <c r="X29">
        <v>0</v>
      </c>
      <c r="Y29">
        <v>0</v>
      </c>
      <c r="Z29" t="s">
        <v>39</v>
      </c>
      <c r="AA29" t="s">
        <v>40</v>
      </c>
      <c r="AB29" t="s">
        <v>41</v>
      </c>
    </row>
    <row r="30" spans="1:28" x14ac:dyDescent="0.35">
      <c r="A30" s="3">
        <v>46184</v>
      </c>
      <c r="B30">
        <v>206839</v>
      </c>
      <c r="C30" t="s">
        <v>69</v>
      </c>
      <c r="D30" t="s">
        <v>31</v>
      </c>
      <c r="E30" t="s">
        <v>70</v>
      </c>
      <c r="F30" t="s">
        <v>33</v>
      </c>
      <c r="G30">
        <v>1</v>
      </c>
      <c r="H30" t="s">
        <v>34</v>
      </c>
      <c r="I30" s="3">
        <v>46185</v>
      </c>
      <c r="J30" s="3">
        <v>46168.509166666663</v>
      </c>
      <c r="K30" s="9">
        <f t="shared" si="0"/>
        <v>24</v>
      </c>
      <c r="L30">
        <v>44.5</v>
      </c>
      <c r="M30" t="s">
        <v>35</v>
      </c>
      <c r="N30">
        <v>0</v>
      </c>
      <c r="O30">
        <v>1</v>
      </c>
      <c r="P30">
        <v>0</v>
      </c>
      <c r="Q30">
        <v>0</v>
      </c>
      <c r="R30" t="s">
        <v>36</v>
      </c>
      <c r="S30" t="s">
        <v>46</v>
      </c>
      <c r="T30" t="s">
        <v>38</v>
      </c>
      <c r="U30">
        <v>1</v>
      </c>
      <c r="W30">
        <v>1</v>
      </c>
      <c r="X30">
        <v>0</v>
      </c>
      <c r="Y30">
        <v>0</v>
      </c>
      <c r="Z30" t="s">
        <v>39</v>
      </c>
      <c r="AA30" t="s">
        <v>40</v>
      </c>
      <c r="AB30" t="s">
        <v>41</v>
      </c>
    </row>
    <row r="31" spans="1:28" x14ac:dyDescent="0.35">
      <c r="A31" s="3">
        <v>46184</v>
      </c>
      <c r="B31">
        <v>206839</v>
      </c>
      <c r="C31" t="s">
        <v>73</v>
      </c>
      <c r="D31" t="s">
        <v>31</v>
      </c>
      <c r="E31" t="s">
        <v>74</v>
      </c>
      <c r="F31" t="s">
        <v>33</v>
      </c>
      <c r="G31">
        <v>1</v>
      </c>
      <c r="H31" t="s">
        <v>34</v>
      </c>
      <c r="I31" s="3">
        <v>46185</v>
      </c>
      <c r="J31" s="3">
        <v>46168.509166666663</v>
      </c>
      <c r="K31" s="9">
        <f t="shared" si="0"/>
        <v>24</v>
      </c>
      <c r="L31">
        <v>44.5</v>
      </c>
      <c r="M31" t="s">
        <v>35</v>
      </c>
      <c r="N31">
        <v>0</v>
      </c>
      <c r="O31">
        <v>1</v>
      </c>
      <c r="P31">
        <v>0</v>
      </c>
      <c r="Q31">
        <v>0</v>
      </c>
      <c r="R31" t="s">
        <v>36</v>
      </c>
      <c r="S31" t="s">
        <v>46</v>
      </c>
      <c r="T31" t="s">
        <v>38</v>
      </c>
      <c r="U31">
        <v>2</v>
      </c>
      <c r="W31">
        <v>1</v>
      </c>
      <c r="X31">
        <v>0</v>
      </c>
      <c r="Y31">
        <v>0</v>
      </c>
      <c r="Z31" t="s">
        <v>39</v>
      </c>
      <c r="AA31" t="s">
        <v>40</v>
      </c>
      <c r="AB31" t="s">
        <v>41</v>
      </c>
    </row>
    <row r="32" spans="1:28" x14ac:dyDescent="0.35">
      <c r="A32" s="3">
        <v>46184</v>
      </c>
      <c r="B32">
        <v>206839</v>
      </c>
      <c r="C32" t="s">
        <v>75</v>
      </c>
      <c r="D32" t="s">
        <v>31</v>
      </c>
      <c r="E32" t="s">
        <v>76</v>
      </c>
      <c r="F32" t="s">
        <v>33</v>
      </c>
      <c r="G32">
        <v>1</v>
      </c>
      <c r="H32" t="s">
        <v>34</v>
      </c>
      <c r="I32" s="3">
        <v>46185</v>
      </c>
      <c r="J32" s="3">
        <v>46168.509166666663</v>
      </c>
      <c r="K32" s="9">
        <f t="shared" si="0"/>
        <v>24</v>
      </c>
      <c r="L32">
        <v>44.5</v>
      </c>
      <c r="M32" t="s">
        <v>35</v>
      </c>
      <c r="N32">
        <v>0</v>
      </c>
      <c r="O32">
        <v>1</v>
      </c>
      <c r="P32">
        <v>0</v>
      </c>
      <c r="Q32">
        <v>0</v>
      </c>
      <c r="R32" t="s">
        <v>36</v>
      </c>
      <c r="S32" t="s">
        <v>46</v>
      </c>
      <c r="T32" t="s">
        <v>38</v>
      </c>
      <c r="U32">
        <v>3</v>
      </c>
      <c r="W32">
        <v>1</v>
      </c>
      <c r="X32">
        <v>0</v>
      </c>
      <c r="Y32">
        <v>0</v>
      </c>
      <c r="Z32" t="s">
        <v>39</v>
      </c>
      <c r="AA32" t="s">
        <v>40</v>
      </c>
      <c r="AB32" t="s">
        <v>41</v>
      </c>
    </row>
    <row r="33" spans="1:28" x14ac:dyDescent="0.35">
      <c r="A33" s="3">
        <v>46191</v>
      </c>
      <c r="B33">
        <v>207824</v>
      </c>
      <c r="C33" t="s">
        <v>55</v>
      </c>
      <c r="D33" t="s">
        <v>31</v>
      </c>
      <c r="E33" t="s">
        <v>56</v>
      </c>
      <c r="F33" t="s">
        <v>44</v>
      </c>
      <c r="G33">
        <v>40</v>
      </c>
      <c r="H33" t="s">
        <v>34</v>
      </c>
      <c r="I33" s="3">
        <v>46192</v>
      </c>
      <c r="J33" s="3">
        <v>46183.410636574074</v>
      </c>
      <c r="K33" s="9">
        <f t="shared" si="0"/>
        <v>25</v>
      </c>
      <c r="L33">
        <v>34000</v>
      </c>
      <c r="M33" t="s">
        <v>35</v>
      </c>
      <c r="N33">
        <v>0</v>
      </c>
      <c r="O33">
        <v>40</v>
      </c>
      <c r="P33">
        <v>0</v>
      </c>
      <c r="Q33">
        <v>0</v>
      </c>
      <c r="R33" t="s">
        <v>36</v>
      </c>
      <c r="S33" t="s">
        <v>46</v>
      </c>
      <c r="T33" t="s">
        <v>38</v>
      </c>
      <c r="U33">
        <v>1</v>
      </c>
      <c r="W33">
        <v>1</v>
      </c>
      <c r="X33">
        <v>0</v>
      </c>
      <c r="Y33">
        <v>0</v>
      </c>
      <c r="Z33" t="s">
        <v>39</v>
      </c>
      <c r="AA33" t="s">
        <v>40</v>
      </c>
      <c r="AB33" t="s">
        <v>41</v>
      </c>
    </row>
    <row r="34" spans="1:28" x14ac:dyDescent="0.35">
      <c r="A34" s="3">
        <v>46191</v>
      </c>
      <c r="B34">
        <v>206446</v>
      </c>
      <c r="C34" t="s">
        <v>77</v>
      </c>
      <c r="D34" t="s">
        <v>31</v>
      </c>
      <c r="E34" t="s">
        <v>78</v>
      </c>
      <c r="F34" t="s">
        <v>44</v>
      </c>
      <c r="G34">
        <v>1</v>
      </c>
      <c r="H34" t="s">
        <v>34</v>
      </c>
      <c r="I34" s="3">
        <v>46192</v>
      </c>
      <c r="J34" s="3">
        <v>46161.692083333335</v>
      </c>
      <c r="K34" s="9">
        <f t="shared" si="0"/>
        <v>25</v>
      </c>
      <c r="L34">
        <v>1700</v>
      </c>
      <c r="M34" t="s">
        <v>35</v>
      </c>
      <c r="N34">
        <v>0</v>
      </c>
      <c r="O34">
        <v>1</v>
      </c>
      <c r="P34">
        <v>0</v>
      </c>
      <c r="Q34">
        <v>0</v>
      </c>
      <c r="R34" t="s">
        <v>36</v>
      </c>
      <c r="S34" t="s">
        <v>46</v>
      </c>
      <c r="T34" t="s">
        <v>38</v>
      </c>
      <c r="U34">
        <v>1</v>
      </c>
      <c r="W34">
        <v>1</v>
      </c>
      <c r="X34">
        <v>0</v>
      </c>
      <c r="Y34">
        <v>0</v>
      </c>
      <c r="Z34" t="s">
        <v>39</v>
      </c>
      <c r="AA34" t="s">
        <v>40</v>
      </c>
      <c r="AB34" t="s">
        <v>41</v>
      </c>
    </row>
    <row r="35" spans="1:28" x14ac:dyDescent="0.35">
      <c r="A35" s="3">
        <v>46191</v>
      </c>
      <c r="B35">
        <v>206446</v>
      </c>
      <c r="C35" t="s">
        <v>69</v>
      </c>
      <c r="D35" t="s">
        <v>31</v>
      </c>
      <c r="E35" t="s">
        <v>70</v>
      </c>
      <c r="F35" t="s">
        <v>33</v>
      </c>
      <c r="G35">
        <v>1</v>
      </c>
      <c r="H35" t="s">
        <v>34</v>
      </c>
      <c r="I35" s="3">
        <v>46192</v>
      </c>
      <c r="J35" s="3">
        <v>46161.692083333335</v>
      </c>
      <c r="K35" s="9">
        <f t="shared" si="0"/>
        <v>25</v>
      </c>
      <c r="L35">
        <v>44.5</v>
      </c>
      <c r="M35" t="s">
        <v>35</v>
      </c>
      <c r="N35">
        <v>0</v>
      </c>
      <c r="O35">
        <v>1</v>
      </c>
      <c r="P35">
        <v>0</v>
      </c>
      <c r="Q35">
        <v>0</v>
      </c>
      <c r="R35" t="s">
        <v>36</v>
      </c>
      <c r="S35" t="s">
        <v>46</v>
      </c>
      <c r="T35" t="s">
        <v>38</v>
      </c>
      <c r="U35">
        <v>2</v>
      </c>
      <c r="W35">
        <v>1</v>
      </c>
      <c r="X35">
        <v>0</v>
      </c>
      <c r="Y35">
        <v>0</v>
      </c>
      <c r="Z35" t="s">
        <v>39</v>
      </c>
      <c r="AA35" t="s">
        <v>40</v>
      </c>
      <c r="AB35" t="s">
        <v>41</v>
      </c>
    </row>
    <row r="36" spans="1:28" x14ac:dyDescent="0.35">
      <c r="A36" s="3">
        <v>46191</v>
      </c>
      <c r="B36">
        <v>206446</v>
      </c>
      <c r="C36" t="s">
        <v>73</v>
      </c>
      <c r="D36" t="s">
        <v>31</v>
      </c>
      <c r="E36" t="s">
        <v>74</v>
      </c>
      <c r="F36" t="s">
        <v>33</v>
      </c>
      <c r="G36">
        <v>1</v>
      </c>
      <c r="H36" t="s">
        <v>34</v>
      </c>
      <c r="I36" s="3">
        <v>46192</v>
      </c>
      <c r="J36" s="3">
        <v>46161.692083333335</v>
      </c>
      <c r="K36" s="9">
        <f t="shared" si="0"/>
        <v>25</v>
      </c>
      <c r="L36">
        <v>44.5</v>
      </c>
      <c r="M36" t="s">
        <v>35</v>
      </c>
      <c r="N36">
        <v>0</v>
      </c>
      <c r="O36">
        <v>1</v>
      </c>
      <c r="P36">
        <v>0</v>
      </c>
      <c r="Q36">
        <v>0</v>
      </c>
      <c r="R36" t="s">
        <v>36</v>
      </c>
      <c r="S36" t="s">
        <v>46</v>
      </c>
      <c r="T36" t="s">
        <v>38</v>
      </c>
      <c r="U36">
        <v>3</v>
      </c>
      <c r="W36">
        <v>1</v>
      </c>
      <c r="X36">
        <v>0</v>
      </c>
      <c r="Y36">
        <v>0</v>
      </c>
      <c r="Z36" t="s">
        <v>39</v>
      </c>
      <c r="AA36" t="s">
        <v>40</v>
      </c>
      <c r="AB36" t="s">
        <v>41</v>
      </c>
    </row>
    <row r="37" spans="1:28" x14ac:dyDescent="0.35">
      <c r="A37" s="3">
        <v>46191</v>
      </c>
      <c r="B37">
        <v>206446</v>
      </c>
      <c r="C37" t="s">
        <v>79</v>
      </c>
      <c r="D37" t="s">
        <v>31</v>
      </c>
      <c r="E37" t="s">
        <v>80</v>
      </c>
      <c r="F37" t="s">
        <v>33</v>
      </c>
      <c r="G37">
        <v>1</v>
      </c>
      <c r="H37" t="s">
        <v>34</v>
      </c>
      <c r="I37" s="3">
        <v>46192</v>
      </c>
      <c r="J37" s="3">
        <v>46161.692083333335</v>
      </c>
      <c r="K37" s="9">
        <f t="shared" si="0"/>
        <v>25</v>
      </c>
      <c r="L37">
        <v>44.5</v>
      </c>
      <c r="M37" t="s">
        <v>35</v>
      </c>
      <c r="N37">
        <v>0</v>
      </c>
      <c r="O37">
        <v>1</v>
      </c>
      <c r="P37">
        <v>0</v>
      </c>
      <c r="Q37">
        <v>0</v>
      </c>
      <c r="R37" t="s">
        <v>36</v>
      </c>
      <c r="S37" t="s">
        <v>46</v>
      </c>
      <c r="T37" t="s">
        <v>38</v>
      </c>
      <c r="U37">
        <v>4</v>
      </c>
      <c r="W37">
        <v>1</v>
      </c>
      <c r="X37">
        <v>0</v>
      </c>
      <c r="Y37">
        <v>0</v>
      </c>
      <c r="Z37" t="s">
        <v>39</v>
      </c>
      <c r="AA37" t="s">
        <v>40</v>
      </c>
      <c r="AB37" t="s">
        <v>41</v>
      </c>
    </row>
    <row r="38" spans="1:28" x14ac:dyDescent="0.35">
      <c r="A38" s="3">
        <v>46191</v>
      </c>
      <c r="B38">
        <v>206446</v>
      </c>
      <c r="C38" t="s">
        <v>75</v>
      </c>
      <c r="D38" t="s">
        <v>31</v>
      </c>
      <c r="E38" t="s">
        <v>76</v>
      </c>
      <c r="F38" t="s">
        <v>33</v>
      </c>
      <c r="G38">
        <v>1</v>
      </c>
      <c r="H38" t="s">
        <v>34</v>
      </c>
      <c r="I38" s="3">
        <v>46192</v>
      </c>
      <c r="J38" s="3">
        <v>46161.692083333335</v>
      </c>
      <c r="K38" s="9">
        <f t="shared" si="0"/>
        <v>25</v>
      </c>
      <c r="L38">
        <v>44.5</v>
      </c>
      <c r="M38" t="s">
        <v>35</v>
      </c>
      <c r="N38">
        <v>0</v>
      </c>
      <c r="O38">
        <v>1</v>
      </c>
      <c r="P38">
        <v>0</v>
      </c>
      <c r="Q38">
        <v>0</v>
      </c>
      <c r="R38" t="s">
        <v>36</v>
      </c>
      <c r="S38" t="s">
        <v>46</v>
      </c>
      <c r="T38" t="s">
        <v>38</v>
      </c>
      <c r="U38">
        <v>5</v>
      </c>
      <c r="W38">
        <v>1</v>
      </c>
      <c r="X38">
        <v>0</v>
      </c>
      <c r="Y38">
        <v>0</v>
      </c>
      <c r="Z38" t="s">
        <v>39</v>
      </c>
      <c r="AA38" t="s">
        <v>40</v>
      </c>
      <c r="AB38" t="s">
        <v>41</v>
      </c>
    </row>
    <row r="39" spans="1:28" x14ac:dyDescent="0.35">
      <c r="A39" s="3">
        <v>46191</v>
      </c>
      <c r="B39">
        <v>206446</v>
      </c>
      <c r="C39" t="s">
        <v>81</v>
      </c>
      <c r="D39" t="s">
        <v>31</v>
      </c>
      <c r="E39" t="s">
        <v>82</v>
      </c>
      <c r="F39" t="s">
        <v>44</v>
      </c>
      <c r="G39">
        <v>1</v>
      </c>
      <c r="H39" t="s">
        <v>34</v>
      </c>
      <c r="I39" s="3">
        <v>46192</v>
      </c>
      <c r="J39" s="3">
        <v>46161.692083333335</v>
      </c>
      <c r="K39" s="9">
        <f t="shared" si="0"/>
        <v>25</v>
      </c>
      <c r="L39">
        <v>1529.33</v>
      </c>
      <c r="M39" t="s">
        <v>35</v>
      </c>
      <c r="N39">
        <v>0</v>
      </c>
      <c r="O39">
        <v>1</v>
      </c>
      <c r="P39">
        <v>0</v>
      </c>
      <c r="Q39">
        <v>0</v>
      </c>
      <c r="R39" t="s">
        <v>36</v>
      </c>
      <c r="S39" t="s">
        <v>46</v>
      </c>
      <c r="T39" t="s">
        <v>38</v>
      </c>
      <c r="U39">
        <v>6</v>
      </c>
      <c r="W39">
        <v>1</v>
      </c>
      <c r="X39">
        <v>0</v>
      </c>
      <c r="Y39">
        <v>0</v>
      </c>
      <c r="Z39" t="s">
        <v>39</v>
      </c>
      <c r="AA39" t="s">
        <v>40</v>
      </c>
      <c r="AB39" t="s">
        <v>41</v>
      </c>
    </row>
    <row r="40" spans="1:28" x14ac:dyDescent="0.35">
      <c r="A40" s="3">
        <v>46191</v>
      </c>
      <c r="B40">
        <v>206446</v>
      </c>
      <c r="C40" t="s">
        <v>83</v>
      </c>
      <c r="D40" t="s">
        <v>31</v>
      </c>
      <c r="E40" t="s">
        <v>84</v>
      </c>
      <c r="F40" t="s">
        <v>44</v>
      </c>
      <c r="G40">
        <v>1</v>
      </c>
      <c r="H40" t="s">
        <v>34</v>
      </c>
      <c r="I40" s="3">
        <v>46192</v>
      </c>
      <c r="J40" s="3">
        <v>46161.692083333335</v>
      </c>
      <c r="K40" s="9">
        <f t="shared" si="0"/>
        <v>25</v>
      </c>
      <c r="L40">
        <v>1426</v>
      </c>
      <c r="M40" t="s">
        <v>35</v>
      </c>
      <c r="N40">
        <v>0</v>
      </c>
      <c r="O40">
        <v>1</v>
      </c>
      <c r="P40">
        <v>0</v>
      </c>
      <c r="Q40">
        <v>0</v>
      </c>
      <c r="R40" t="s">
        <v>36</v>
      </c>
      <c r="S40" t="s">
        <v>46</v>
      </c>
      <c r="T40" t="s">
        <v>38</v>
      </c>
      <c r="U40">
        <v>7</v>
      </c>
      <c r="W40">
        <v>1</v>
      </c>
      <c r="X40">
        <v>0</v>
      </c>
      <c r="Y40">
        <v>0</v>
      </c>
      <c r="Z40" t="s">
        <v>39</v>
      </c>
      <c r="AA40" t="s">
        <v>40</v>
      </c>
      <c r="AB40" t="s">
        <v>41</v>
      </c>
    </row>
    <row r="41" spans="1:28" x14ac:dyDescent="0.35">
      <c r="A41" s="3">
        <v>46191</v>
      </c>
      <c r="B41">
        <v>206446</v>
      </c>
      <c r="C41" t="s">
        <v>85</v>
      </c>
      <c r="D41" t="s">
        <v>31</v>
      </c>
      <c r="E41" t="s">
        <v>86</v>
      </c>
      <c r="F41" t="s">
        <v>33</v>
      </c>
      <c r="G41">
        <v>1</v>
      </c>
      <c r="H41" t="s">
        <v>34</v>
      </c>
      <c r="I41" s="3">
        <v>46192</v>
      </c>
      <c r="J41" s="3">
        <v>46161.692083333335</v>
      </c>
      <c r="K41" s="9">
        <f t="shared" si="0"/>
        <v>25</v>
      </c>
      <c r="L41">
        <v>203</v>
      </c>
      <c r="M41" t="s">
        <v>35</v>
      </c>
      <c r="N41">
        <v>0</v>
      </c>
      <c r="O41">
        <v>1</v>
      </c>
      <c r="P41">
        <v>0</v>
      </c>
      <c r="Q41">
        <v>0</v>
      </c>
      <c r="R41" t="s">
        <v>36</v>
      </c>
      <c r="S41" t="s">
        <v>46</v>
      </c>
      <c r="T41" t="s">
        <v>38</v>
      </c>
      <c r="U41">
        <v>8</v>
      </c>
      <c r="W41">
        <v>1</v>
      </c>
      <c r="X41">
        <v>0</v>
      </c>
      <c r="Y41">
        <v>0</v>
      </c>
      <c r="Z41" t="s">
        <v>39</v>
      </c>
      <c r="AA41" t="s">
        <v>40</v>
      </c>
      <c r="AB41" t="s">
        <v>41</v>
      </c>
    </row>
    <row r="42" spans="1:28" x14ac:dyDescent="0.35">
      <c r="A42" s="3">
        <v>46191</v>
      </c>
      <c r="B42">
        <v>206446</v>
      </c>
      <c r="C42" t="s">
        <v>55</v>
      </c>
      <c r="D42" t="s">
        <v>31</v>
      </c>
      <c r="E42" t="s">
        <v>56</v>
      </c>
      <c r="F42" t="s">
        <v>44</v>
      </c>
      <c r="G42">
        <v>1</v>
      </c>
      <c r="H42" t="s">
        <v>34</v>
      </c>
      <c r="I42" s="3">
        <v>46192</v>
      </c>
      <c r="J42" s="3">
        <v>46161.692083333335</v>
      </c>
      <c r="K42" s="9">
        <f t="shared" si="0"/>
        <v>25</v>
      </c>
      <c r="L42">
        <v>850</v>
      </c>
      <c r="M42" t="s">
        <v>35</v>
      </c>
      <c r="N42">
        <v>0</v>
      </c>
      <c r="O42">
        <v>1</v>
      </c>
      <c r="P42">
        <v>0</v>
      </c>
      <c r="Q42">
        <v>0</v>
      </c>
      <c r="R42" t="s">
        <v>36</v>
      </c>
      <c r="S42" t="s">
        <v>46</v>
      </c>
      <c r="T42" t="s">
        <v>38</v>
      </c>
      <c r="U42">
        <v>9</v>
      </c>
      <c r="W42">
        <v>1</v>
      </c>
      <c r="X42">
        <v>0</v>
      </c>
      <c r="Y42">
        <v>0</v>
      </c>
      <c r="Z42" t="s">
        <v>39</v>
      </c>
      <c r="AA42" t="s">
        <v>40</v>
      </c>
      <c r="AB42" t="s">
        <v>41</v>
      </c>
    </row>
    <row r="43" spans="1:28" x14ac:dyDescent="0.35">
      <c r="A43" s="3">
        <v>46191</v>
      </c>
      <c r="B43">
        <v>206446</v>
      </c>
      <c r="C43" t="s">
        <v>87</v>
      </c>
      <c r="D43" t="s">
        <v>31</v>
      </c>
      <c r="E43" t="s">
        <v>88</v>
      </c>
      <c r="F43" t="s">
        <v>44</v>
      </c>
      <c r="G43">
        <v>1</v>
      </c>
      <c r="H43" t="s">
        <v>34</v>
      </c>
      <c r="I43" s="3">
        <v>46192</v>
      </c>
      <c r="J43" s="3">
        <v>46161.692083333335</v>
      </c>
      <c r="K43" s="9">
        <f t="shared" si="0"/>
        <v>25</v>
      </c>
      <c r="L43">
        <v>1328</v>
      </c>
      <c r="M43" t="s">
        <v>35</v>
      </c>
      <c r="N43">
        <v>0</v>
      </c>
      <c r="O43">
        <v>1</v>
      </c>
      <c r="P43">
        <v>0</v>
      </c>
      <c r="Q43">
        <v>0</v>
      </c>
      <c r="R43" t="s">
        <v>36</v>
      </c>
      <c r="S43" t="s">
        <v>46</v>
      </c>
      <c r="T43" t="s">
        <v>38</v>
      </c>
      <c r="U43">
        <v>10</v>
      </c>
      <c r="W43">
        <v>1</v>
      </c>
      <c r="X43">
        <v>0</v>
      </c>
      <c r="Y43">
        <v>0</v>
      </c>
      <c r="Z43" t="s">
        <v>39</v>
      </c>
      <c r="AA43" t="s">
        <v>40</v>
      </c>
      <c r="AB43" t="s">
        <v>41</v>
      </c>
    </row>
    <row r="44" spans="1:28" x14ac:dyDescent="0.35">
      <c r="A44" s="3">
        <v>46191</v>
      </c>
      <c r="B44">
        <v>206446</v>
      </c>
      <c r="C44" t="s">
        <v>89</v>
      </c>
      <c r="D44" t="s">
        <v>31</v>
      </c>
      <c r="E44" t="s">
        <v>90</v>
      </c>
      <c r="F44" t="s">
        <v>44</v>
      </c>
      <c r="G44">
        <v>1</v>
      </c>
      <c r="H44" t="s">
        <v>34</v>
      </c>
      <c r="I44" s="3">
        <v>46192</v>
      </c>
      <c r="J44" s="3">
        <v>46161.692083333335</v>
      </c>
      <c r="K44" s="9">
        <f t="shared" si="0"/>
        <v>25</v>
      </c>
      <c r="L44">
        <v>1700</v>
      </c>
      <c r="M44" t="s">
        <v>35</v>
      </c>
      <c r="N44">
        <v>0</v>
      </c>
      <c r="O44">
        <v>1</v>
      </c>
      <c r="P44">
        <v>0</v>
      </c>
      <c r="Q44">
        <v>0</v>
      </c>
      <c r="R44" t="s">
        <v>36</v>
      </c>
      <c r="S44" t="s">
        <v>46</v>
      </c>
      <c r="T44" t="s">
        <v>38</v>
      </c>
      <c r="U44">
        <v>11</v>
      </c>
      <c r="W44">
        <v>1</v>
      </c>
      <c r="X44">
        <v>0</v>
      </c>
      <c r="Y44">
        <v>0</v>
      </c>
      <c r="Z44" t="s">
        <v>39</v>
      </c>
      <c r="AA44" t="s">
        <v>40</v>
      </c>
      <c r="AB44" t="s">
        <v>41</v>
      </c>
    </row>
    <row r="45" spans="1:28" x14ac:dyDescent="0.35">
      <c r="A45" s="3">
        <v>46191</v>
      </c>
      <c r="B45">
        <v>206446</v>
      </c>
      <c r="C45" t="s">
        <v>91</v>
      </c>
      <c r="D45" t="s">
        <v>31</v>
      </c>
      <c r="E45" t="s">
        <v>92</v>
      </c>
      <c r="F45" t="s">
        <v>33</v>
      </c>
      <c r="G45">
        <v>1</v>
      </c>
      <c r="H45" t="s">
        <v>34</v>
      </c>
      <c r="I45" s="3">
        <v>46192</v>
      </c>
      <c r="J45" s="3">
        <v>46161.692083333335</v>
      </c>
      <c r="K45" s="9">
        <f t="shared" si="0"/>
        <v>25</v>
      </c>
      <c r="L45">
        <v>530</v>
      </c>
      <c r="M45" t="s">
        <v>35</v>
      </c>
      <c r="N45">
        <v>0</v>
      </c>
      <c r="O45">
        <v>1</v>
      </c>
      <c r="P45">
        <v>0</v>
      </c>
      <c r="Q45">
        <v>0</v>
      </c>
      <c r="R45" t="s">
        <v>36</v>
      </c>
      <c r="S45" t="s">
        <v>46</v>
      </c>
      <c r="T45" t="s">
        <v>38</v>
      </c>
      <c r="U45">
        <v>12</v>
      </c>
      <c r="W45">
        <v>1</v>
      </c>
      <c r="X45">
        <v>0</v>
      </c>
      <c r="Y45">
        <v>0</v>
      </c>
      <c r="Z45" t="s">
        <v>39</v>
      </c>
      <c r="AA45" t="s">
        <v>40</v>
      </c>
      <c r="AB45" t="s">
        <v>41</v>
      </c>
    </row>
    <row r="46" spans="1:28" x14ac:dyDescent="0.35">
      <c r="A46" s="3">
        <v>46191</v>
      </c>
      <c r="B46">
        <v>206446</v>
      </c>
      <c r="C46" t="s">
        <v>47</v>
      </c>
      <c r="D46" t="s">
        <v>31</v>
      </c>
      <c r="E46" t="s">
        <v>48</v>
      </c>
      <c r="F46" t="s">
        <v>44</v>
      </c>
      <c r="G46">
        <v>9</v>
      </c>
      <c r="H46" t="s">
        <v>34</v>
      </c>
      <c r="I46" s="3">
        <v>46192</v>
      </c>
      <c r="J46" s="3">
        <v>46161.692083333335</v>
      </c>
      <c r="K46" s="9">
        <f t="shared" si="0"/>
        <v>25</v>
      </c>
      <c r="L46">
        <v>5562</v>
      </c>
      <c r="M46" t="s">
        <v>35</v>
      </c>
      <c r="N46">
        <v>0</v>
      </c>
      <c r="O46">
        <v>9</v>
      </c>
      <c r="P46">
        <v>0</v>
      </c>
      <c r="Q46">
        <v>0</v>
      </c>
      <c r="R46" t="s">
        <v>36</v>
      </c>
      <c r="S46" t="s">
        <v>46</v>
      </c>
      <c r="T46" t="s">
        <v>38</v>
      </c>
      <c r="U46">
        <v>13</v>
      </c>
      <c r="W46">
        <v>1</v>
      </c>
      <c r="X46">
        <v>0</v>
      </c>
      <c r="Y46">
        <v>0</v>
      </c>
      <c r="Z46" t="s">
        <v>39</v>
      </c>
      <c r="AA46" t="s">
        <v>40</v>
      </c>
      <c r="AB46" t="s">
        <v>41</v>
      </c>
    </row>
    <row r="47" spans="1:28" x14ac:dyDescent="0.35">
      <c r="A47" s="3">
        <v>46198</v>
      </c>
      <c r="B47">
        <v>208377</v>
      </c>
      <c r="C47" t="s">
        <v>83</v>
      </c>
      <c r="D47" t="s">
        <v>31</v>
      </c>
      <c r="E47" t="s">
        <v>84</v>
      </c>
      <c r="F47" t="s">
        <v>44</v>
      </c>
      <c r="G47">
        <v>2</v>
      </c>
      <c r="H47" t="s">
        <v>93</v>
      </c>
      <c r="I47" s="3">
        <v>46199</v>
      </c>
      <c r="J47" s="3">
        <v>46191.480011574073</v>
      </c>
      <c r="K47" s="9">
        <f t="shared" si="0"/>
        <v>26</v>
      </c>
      <c r="L47">
        <v>3137.2</v>
      </c>
      <c r="M47" t="s">
        <v>35</v>
      </c>
      <c r="N47">
        <v>0</v>
      </c>
      <c r="O47">
        <v>2</v>
      </c>
      <c r="P47">
        <v>0</v>
      </c>
      <c r="Q47">
        <v>0</v>
      </c>
      <c r="R47" t="s">
        <v>36</v>
      </c>
      <c r="S47" t="s">
        <v>46</v>
      </c>
      <c r="T47" t="s">
        <v>38</v>
      </c>
      <c r="U47">
        <v>1</v>
      </c>
      <c r="W47">
        <v>1</v>
      </c>
      <c r="X47">
        <v>0</v>
      </c>
      <c r="Y47">
        <v>0</v>
      </c>
      <c r="Z47" t="s">
        <v>39</v>
      </c>
      <c r="AA47" t="s">
        <v>40</v>
      </c>
      <c r="AB47" t="s">
        <v>41</v>
      </c>
    </row>
    <row r="48" spans="1:28" x14ac:dyDescent="0.35">
      <c r="A48" s="3">
        <v>46198</v>
      </c>
      <c r="B48">
        <v>208377</v>
      </c>
      <c r="C48" t="s">
        <v>94</v>
      </c>
      <c r="D48" t="s">
        <v>31</v>
      </c>
      <c r="E48" t="s">
        <v>95</v>
      </c>
      <c r="F48" t="s">
        <v>44</v>
      </c>
      <c r="G48">
        <v>1</v>
      </c>
      <c r="H48" t="s">
        <v>93</v>
      </c>
      <c r="I48" s="3">
        <v>46199</v>
      </c>
      <c r="J48" s="3">
        <v>46191.480011574073</v>
      </c>
      <c r="K48" s="9">
        <f t="shared" si="0"/>
        <v>26</v>
      </c>
      <c r="L48">
        <v>1920</v>
      </c>
      <c r="M48" t="s">
        <v>35</v>
      </c>
      <c r="N48">
        <v>0</v>
      </c>
      <c r="O48">
        <v>1</v>
      </c>
      <c r="P48">
        <v>0</v>
      </c>
      <c r="Q48">
        <v>0</v>
      </c>
      <c r="R48" t="s">
        <v>36</v>
      </c>
      <c r="S48" t="s">
        <v>46</v>
      </c>
      <c r="T48" t="s">
        <v>38</v>
      </c>
      <c r="U48">
        <v>2</v>
      </c>
      <c r="W48">
        <v>1</v>
      </c>
      <c r="X48">
        <v>0</v>
      </c>
      <c r="Y48">
        <v>0</v>
      </c>
      <c r="Z48" t="s">
        <v>39</v>
      </c>
      <c r="AA48" t="s">
        <v>40</v>
      </c>
      <c r="AB48" t="s">
        <v>41</v>
      </c>
    </row>
    <row r="49" spans="1:28" x14ac:dyDescent="0.35">
      <c r="A49" s="3">
        <v>46199</v>
      </c>
      <c r="B49">
        <v>204934</v>
      </c>
      <c r="C49" t="s">
        <v>49</v>
      </c>
      <c r="D49" t="s">
        <v>31</v>
      </c>
      <c r="E49" t="s">
        <v>50</v>
      </c>
      <c r="F49" t="s">
        <v>44</v>
      </c>
      <c r="G49">
        <v>24</v>
      </c>
      <c r="H49" t="s">
        <v>45</v>
      </c>
      <c r="I49" s="3">
        <v>46157</v>
      </c>
      <c r="J49" s="3">
        <v>46140.592418981483</v>
      </c>
      <c r="K49" s="9">
        <f t="shared" si="0"/>
        <v>26</v>
      </c>
      <c r="L49">
        <v>14832</v>
      </c>
      <c r="M49" t="s">
        <v>35</v>
      </c>
      <c r="N49">
        <v>0</v>
      </c>
      <c r="O49">
        <v>24</v>
      </c>
      <c r="P49">
        <v>0</v>
      </c>
      <c r="Q49">
        <v>0</v>
      </c>
      <c r="R49" t="s">
        <v>36</v>
      </c>
      <c r="S49" t="s">
        <v>46</v>
      </c>
      <c r="T49" t="s">
        <v>38</v>
      </c>
      <c r="U49">
        <v>2</v>
      </c>
      <c r="W49">
        <v>1</v>
      </c>
      <c r="X49">
        <v>0</v>
      </c>
      <c r="Y49">
        <v>0</v>
      </c>
      <c r="Z49" t="s">
        <v>39</v>
      </c>
      <c r="AA49" t="s">
        <v>40</v>
      </c>
      <c r="AB49" t="s">
        <v>41</v>
      </c>
    </row>
    <row r="50" spans="1:28" x14ac:dyDescent="0.35">
      <c r="A50" s="3">
        <v>46199</v>
      </c>
      <c r="B50">
        <v>204934</v>
      </c>
      <c r="C50" t="s">
        <v>42</v>
      </c>
      <c r="D50" t="s">
        <v>31</v>
      </c>
      <c r="E50" t="s">
        <v>43</v>
      </c>
      <c r="F50" t="s">
        <v>44</v>
      </c>
      <c r="G50">
        <v>19</v>
      </c>
      <c r="H50" t="s">
        <v>45</v>
      </c>
      <c r="I50" s="3">
        <v>46157</v>
      </c>
      <c r="J50" s="3">
        <v>46140.592418981483</v>
      </c>
      <c r="K50" s="9">
        <f t="shared" si="0"/>
        <v>26</v>
      </c>
      <c r="L50">
        <v>11742</v>
      </c>
      <c r="M50" t="s">
        <v>35</v>
      </c>
      <c r="N50">
        <v>0</v>
      </c>
      <c r="O50">
        <v>19</v>
      </c>
      <c r="P50">
        <v>0</v>
      </c>
      <c r="Q50">
        <v>0</v>
      </c>
      <c r="R50" t="s">
        <v>36</v>
      </c>
      <c r="S50" t="s">
        <v>46</v>
      </c>
      <c r="T50" t="s">
        <v>38</v>
      </c>
      <c r="U50">
        <v>3</v>
      </c>
      <c r="W50">
        <v>1</v>
      </c>
      <c r="X50">
        <v>0</v>
      </c>
      <c r="Y50">
        <v>0</v>
      </c>
      <c r="Z50" t="s">
        <v>39</v>
      </c>
      <c r="AA50" t="s">
        <v>40</v>
      </c>
      <c r="AB50" t="s">
        <v>41</v>
      </c>
    </row>
    <row r="51" spans="1:28" x14ac:dyDescent="0.35">
      <c r="A51" s="3">
        <v>46199</v>
      </c>
      <c r="B51">
        <v>203571</v>
      </c>
      <c r="C51" t="s">
        <v>51</v>
      </c>
      <c r="D51" t="s">
        <v>31</v>
      </c>
      <c r="E51" t="s">
        <v>52</v>
      </c>
      <c r="F51" t="s">
        <v>44</v>
      </c>
      <c r="G51">
        <v>11</v>
      </c>
      <c r="H51" t="s">
        <v>45</v>
      </c>
      <c r="I51" s="3">
        <v>46150</v>
      </c>
      <c r="J51" s="3">
        <v>46120.537835648145</v>
      </c>
      <c r="K51" s="9">
        <f t="shared" si="0"/>
        <v>26</v>
      </c>
      <c r="L51">
        <v>6336</v>
      </c>
      <c r="M51" t="s">
        <v>35</v>
      </c>
      <c r="N51">
        <v>0</v>
      </c>
      <c r="O51">
        <v>11</v>
      </c>
      <c r="P51">
        <v>0</v>
      </c>
      <c r="Q51">
        <v>0</v>
      </c>
      <c r="R51" t="s">
        <v>36</v>
      </c>
      <c r="S51" t="s">
        <v>46</v>
      </c>
      <c r="T51" t="s">
        <v>38</v>
      </c>
      <c r="U51">
        <v>1</v>
      </c>
      <c r="W51">
        <v>1</v>
      </c>
      <c r="X51">
        <v>0</v>
      </c>
      <c r="Y51">
        <v>0</v>
      </c>
      <c r="Z51" t="s">
        <v>39</v>
      </c>
      <c r="AA51" t="s">
        <v>40</v>
      </c>
      <c r="AB51" t="s">
        <v>41</v>
      </c>
    </row>
    <row r="52" spans="1:28" x14ac:dyDescent="0.35">
      <c r="A52" s="3">
        <v>46199</v>
      </c>
      <c r="B52">
        <v>203571</v>
      </c>
      <c r="C52" t="s">
        <v>51</v>
      </c>
      <c r="D52" t="s">
        <v>31</v>
      </c>
      <c r="E52" t="s">
        <v>52</v>
      </c>
      <c r="F52" t="s">
        <v>44</v>
      </c>
      <c r="G52">
        <v>11</v>
      </c>
      <c r="H52" t="s">
        <v>45</v>
      </c>
      <c r="I52" s="3">
        <v>46150</v>
      </c>
      <c r="J52" s="3">
        <v>46120.537835648145</v>
      </c>
      <c r="K52" s="9">
        <f t="shared" si="0"/>
        <v>26</v>
      </c>
      <c r="L52">
        <v>6336</v>
      </c>
      <c r="M52" t="s">
        <v>35</v>
      </c>
      <c r="N52">
        <v>0</v>
      </c>
      <c r="O52">
        <v>11</v>
      </c>
      <c r="P52">
        <v>0</v>
      </c>
      <c r="Q52">
        <v>0</v>
      </c>
      <c r="R52" t="s">
        <v>36</v>
      </c>
      <c r="S52" t="s">
        <v>46</v>
      </c>
      <c r="T52" t="s">
        <v>38</v>
      </c>
      <c r="U52">
        <v>2</v>
      </c>
      <c r="W52">
        <v>1</v>
      </c>
      <c r="X52">
        <v>0</v>
      </c>
      <c r="Y52">
        <v>0</v>
      </c>
      <c r="Z52" t="s">
        <v>39</v>
      </c>
      <c r="AA52" t="s">
        <v>40</v>
      </c>
      <c r="AB52" t="s">
        <v>41</v>
      </c>
    </row>
    <row r="53" spans="1:28" x14ac:dyDescent="0.35">
      <c r="A53" s="3">
        <v>46199</v>
      </c>
      <c r="B53">
        <v>203571</v>
      </c>
      <c r="C53" t="s">
        <v>53</v>
      </c>
      <c r="D53" t="s">
        <v>31</v>
      </c>
      <c r="E53" t="s">
        <v>54</v>
      </c>
      <c r="F53" t="s">
        <v>44</v>
      </c>
      <c r="G53">
        <v>5</v>
      </c>
      <c r="H53" t="s">
        <v>45</v>
      </c>
      <c r="I53" s="3">
        <v>46150</v>
      </c>
      <c r="J53" s="3">
        <v>46120.537835648145</v>
      </c>
      <c r="K53" s="9">
        <f t="shared" si="0"/>
        <v>26</v>
      </c>
      <c r="L53">
        <v>5057.1499999999996</v>
      </c>
      <c r="M53" t="s">
        <v>35</v>
      </c>
      <c r="N53">
        <v>0</v>
      </c>
      <c r="O53">
        <v>5</v>
      </c>
      <c r="P53">
        <v>0</v>
      </c>
      <c r="Q53">
        <v>0</v>
      </c>
      <c r="R53" t="s">
        <v>36</v>
      </c>
      <c r="S53" t="s">
        <v>46</v>
      </c>
      <c r="T53" t="s">
        <v>38</v>
      </c>
      <c r="U53">
        <v>3</v>
      </c>
      <c r="W53">
        <v>1</v>
      </c>
      <c r="X53">
        <v>0</v>
      </c>
      <c r="Y53">
        <v>0</v>
      </c>
      <c r="Z53" t="s">
        <v>39</v>
      </c>
      <c r="AA53" t="s">
        <v>40</v>
      </c>
      <c r="AB53" t="s">
        <v>41</v>
      </c>
    </row>
    <row r="54" spans="1:28" x14ac:dyDescent="0.35">
      <c r="A54" s="3">
        <v>46199</v>
      </c>
      <c r="B54">
        <v>203571</v>
      </c>
      <c r="C54" t="s">
        <v>59</v>
      </c>
      <c r="D54" t="s">
        <v>31</v>
      </c>
      <c r="E54" t="s">
        <v>60</v>
      </c>
      <c r="F54" t="s">
        <v>44</v>
      </c>
      <c r="G54">
        <v>23</v>
      </c>
      <c r="H54" t="s">
        <v>45</v>
      </c>
      <c r="I54" s="3">
        <v>46150</v>
      </c>
      <c r="J54" s="3">
        <v>46120.537835648145</v>
      </c>
      <c r="K54" s="9">
        <f t="shared" si="0"/>
        <v>26</v>
      </c>
      <c r="L54">
        <v>12926</v>
      </c>
      <c r="M54" t="s">
        <v>35</v>
      </c>
      <c r="N54">
        <v>0</v>
      </c>
      <c r="O54">
        <v>23</v>
      </c>
      <c r="P54">
        <v>0</v>
      </c>
      <c r="Q54">
        <v>0</v>
      </c>
      <c r="R54" t="s">
        <v>36</v>
      </c>
      <c r="S54" t="s">
        <v>46</v>
      </c>
      <c r="T54" t="s">
        <v>38</v>
      </c>
      <c r="U54">
        <v>4</v>
      </c>
      <c r="W54">
        <v>1</v>
      </c>
      <c r="X54">
        <v>0</v>
      </c>
      <c r="Y54">
        <v>0</v>
      </c>
      <c r="Z54" t="s">
        <v>39</v>
      </c>
      <c r="AA54" t="s">
        <v>40</v>
      </c>
      <c r="AB54" t="s">
        <v>41</v>
      </c>
    </row>
    <row r="55" spans="1:28" x14ac:dyDescent="0.35">
      <c r="A55" s="3">
        <v>46205</v>
      </c>
      <c r="B55">
        <v>208375</v>
      </c>
      <c r="C55" t="s">
        <v>53</v>
      </c>
      <c r="D55" t="s">
        <v>31</v>
      </c>
      <c r="E55" t="s">
        <v>54</v>
      </c>
      <c r="F55" t="s">
        <v>44</v>
      </c>
      <c r="G55">
        <v>3</v>
      </c>
      <c r="H55" t="s">
        <v>93</v>
      </c>
      <c r="I55" s="3">
        <v>46206</v>
      </c>
      <c r="J55" s="3">
        <v>46191.477881944447</v>
      </c>
      <c r="K55" s="9">
        <f t="shared" si="0"/>
        <v>27</v>
      </c>
      <c r="L55">
        <v>3337.29</v>
      </c>
      <c r="M55" t="s">
        <v>35</v>
      </c>
      <c r="N55">
        <v>0</v>
      </c>
      <c r="O55">
        <v>3</v>
      </c>
      <c r="P55">
        <v>0</v>
      </c>
      <c r="Q55">
        <v>0</v>
      </c>
      <c r="R55" t="s">
        <v>36</v>
      </c>
      <c r="S55" t="s">
        <v>46</v>
      </c>
      <c r="T55" t="s">
        <v>38</v>
      </c>
      <c r="U55">
        <v>1</v>
      </c>
      <c r="W55">
        <v>1</v>
      </c>
      <c r="X55">
        <v>0</v>
      </c>
      <c r="Y55">
        <v>0</v>
      </c>
      <c r="Z55" t="s">
        <v>39</v>
      </c>
      <c r="AA55" t="s">
        <v>40</v>
      </c>
      <c r="AB55" t="s">
        <v>41</v>
      </c>
    </row>
    <row r="56" spans="1:28" x14ac:dyDescent="0.35">
      <c r="A56" s="3">
        <v>46205</v>
      </c>
      <c r="B56">
        <v>208375</v>
      </c>
      <c r="C56" t="s">
        <v>83</v>
      </c>
      <c r="D56" t="s">
        <v>31</v>
      </c>
      <c r="E56" t="s">
        <v>84</v>
      </c>
      <c r="F56" t="s">
        <v>44</v>
      </c>
      <c r="G56">
        <v>3</v>
      </c>
      <c r="H56" t="s">
        <v>93</v>
      </c>
      <c r="I56" s="3">
        <v>46206</v>
      </c>
      <c r="J56" s="3">
        <v>46191.477881944447</v>
      </c>
      <c r="K56" s="9">
        <f t="shared" si="0"/>
        <v>27</v>
      </c>
      <c r="L56">
        <v>4705.8</v>
      </c>
      <c r="M56" t="s">
        <v>35</v>
      </c>
      <c r="N56">
        <v>0</v>
      </c>
      <c r="O56">
        <v>3</v>
      </c>
      <c r="P56">
        <v>0</v>
      </c>
      <c r="Q56">
        <v>0</v>
      </c>
      <c r="R56" t="s">
        <v>36</v>
      </c>
      <c r="S56" t="s">
        <v>46</v>
      </c>
      <c r="T56" t="s">
        <v>38</v>
      </c>
      <c r="U56">
        <v>2</v>
      </c>
      <c r="W56">
        <v>1</v>
      </c>
      <c r="X56">
        <v>0</v>
      </c>
      <c r="Y56">
        <v>0</v>
      </c>
      <c r="Z56" t="s">
        <v>39</v>
      </c>
      <c r="AA56" t="s">
        <v>40</v>
      </c>
      <c r="AB56" t="s">
        <v>41</v>
      </c>
    </row>
    <row r="57" spans="1:28" x14ac:dyDescent="0.35">
      <c r="A57" s="3">
        <v>46205</v>
      </c>
      <c r="B57">
        <v>208375</v>
      </c>
      <c r="C57" t="s">
        <v>59</v>
      </c>
      <c r="D57" t="s">
        <v>31</v>
      </c>
      <c r="E57" t="s">
        <v>60</v>
      </c>
      <c r="F57" t="s">
        <v>44</v>
      </c>
      <c r="G57">
        <v>5</v>
      </c>
      <c r="H57" t="s">
        <v>93</v>
      </c>
      <c r="I57" s="3">
        <v>46206</v>
      </c>
      <c r="J57" s="3">
        <v>46191.477881944447</v>
      </c>
      <c r="K57" s="9">
        <f t="shared" si="0"/>
        <v>27</v>
      </c>
      <c r="L57">
        <v>3091</v>
      </c>
      <c r="M57" t="s">
        <v>35</v>
      </c>
      <c r="N57">
        <v>0</v>
      </c>
      <c r="O57">
        <v>5</v>
      </c>
      <c r="P57">
        <v>0</v>
      </c>
      <c r="Q57">
        <v>0</v>
      </c>
      <c r="R57" t="s">
        <v>36</v>
      </c>
      <c r="S57" t="s">
        <v>46</v>
      </c>
      <c r="T57" t="s">
        <v>38</v>
      </c>
      <c r="U57">
        <v>3</v>
      </c>
      <c r="W57">
        <v>1</v>
      </c>
      <c r="X57">
        <v>0</v>
      </c>
      <c r="Y57">
        <v>0</v>
      </c>
      <c r="Z57" t="s">
        <v>39</v>
      </c>
      <c r="AA57" t="s">
        <v>40</v>
      </c>
      <c r="AB57" t="s">
        <v>41</v>
      </c>
    </row>
    <row r="58" spans="1:28" x14ac:dyDescent="0.35">
      <c r="A58" s="3">
        <v>46205</v>
      </c>
      <c r="B58">
        <v>208375</v>
      </c>
      <c r="C58" t="s">
        <v>61</v>
      </c>
      <c r="D58" t="s">
        <v>31</v>
      </c>
      <c r="E58" t="s">
        <v>62</v>
      </c>
      <c r="F58" t="s">
        <v>44</v>
      </c>
      <c r="G58">
        <v>9</v>
      </c>
      <c r="H58" t="s">
        <v>93</v>
      </c>
      <c r="I58" s="3">
        <v>46206</v>
      </c>
      <c r="J58" s="3">
        <v>46191.477881944447</v>
      </c>
      <c r="K58" s="9">
        <f t="shared" si="0"/>
        <v>27</v>
      </c>
      <c r="L58">
        <v>9198</v>
      </c>
      <c r="M58" t="s">
        <v>35</v>
      </c>
      <c r="N58">
        <v>0</v>
      </c>
      <c r="O58">
        <v>9</v>
      </c>
      <c r="P58">
        <v>0</v>
      </c>
      <c r="Q58">
        <v>0</v>
      </c>
      <c r="R58" t="s">
        <v>36</v>
      </c>
      <c r="S58" t="s">
        <v>46</v>
      </c>
      <c r="T58" t="s">
        <v>38</v>
      </c>
      <c r="U58">
        <v>4</v>
      </c>
      <c r="W58">
        <v>1</v>
      </c>
      <c r="X58">
        <v>0</v>
      </c>
      <c r="Y58">
        <v>0</v>
      </c>
      <c r="Z58" t="s">
        <v>39</v>
      </c>
      <c r="AA58" t="s">
        <v>40</v>
      </c>
      <c r="AB58" t="s">
        <v>41</v>
      </c>
    </row>
    <row r="59" spans="1:28" x14ac:dyDescent="0.35">
      <c r="A59" s="3">
        <v>46205</v>
      </c>
      <c r="B59">
        <v>208375</v>
      </c>
      <c r="C59" t="s">
        <v>55</v>
      </c>
      <c r="D59" t="s">
        <v>31</v>
      </c>
      <c r="E59" t="s">
        <v>56</v>
      </c>
      <c r="F59" t="s">
        <v>44</v>
      </c>
      <c r="G59">
        <v>9</v>
      </c>
      <c r="H59" t="s">
        <v>93</v>
      </c>
      <c r="I59" s="3">
        <v>46206</v>
      </c>
      <c r="J59" s="3">
        <v>46191.477881944447</v>
      </c>
      <c r="K59" s="9">
        <f t="shared" si="0"/>
        <v>27</v>
      </c>
      <c r="L59">
        <v>8415</v>
      </c>
      <c r="M59" t="s">
        <v>35</v>
      </c>
      <c r="N59">
        <v>0</v>
      </c>
      <c r="O59">
        <v>9</v>
      </c>
      <c r="P59">
        <v>0</v>
      </c>
      <c r="Q59">
        <v>0</v>
      </c>
      <c r="R59" t="s">
        <v>36</v>
      </c>
      <c r="S59" t="s">
        <v>46</v>
      </c>
      <c r="T59" t="s">
        <v>38</v>
      </c>
      <c r="U59">
        <v>5</v>
      </c>
      <c r="W59">
        <v>1</v>
      </c>
      <c r="X59">
        <v>0</v>
      </c>
      <c r="Y59">
        <v>0</v>
      </c>
      <c r="Z59" t="s">
        <v>39</v>
      </c>
      <c r="AA59" t="s">
        <v>40</v>
      </c>
      <c r="AB59" t="s">
        <v>41</v>
      </c>
    </row>
    <row r="60" spans="1:28" x14ac:dyDescent="0.35">
      <c r="A60" s="3">
        <v>46212</v>
      </c>
      <c r="B60">
        <v>209218</v>
      </c>
      <c r="C60" t="s">
        <v>51</v>
      </c>
      <c r="D60" t="s">
        <v>31</v>
      </c>
      <c r="E60" t="s">
        <v>52</v>
      </c>
      <c r="F60" t="s">
        <v>44</v>
      </c>
      <c r="G60">
        <v>2</v>
      </c>
      <c r="H60" t="s">
        <v>96</v>
      </c>
      <c r="I60" s="3">
        <v>46213</v>
      </c>
      <c r="J60" s="3">
        <v>46202.773101851853</v>
      </c>
      <c r="K60" s="9">
        <f t="shared" si="0"/>
        <v>28</v>
      </c>
      <c r="L60">
        <v>1267.2</v>
      </c>
      <c r="M60" t="s">
        <v>35</v>
      </c>
      <c r="N60">
        <v>0</v>
      </c>
      <c r="O60">
        <v>2</v>
      </c>
      <c r="P60">
        <v>0</v>
      </c>
      <c r="Q60">
        <v>0</v>
      </c>
      <c r="R60" t="s">
        <v>36</v>
      </c>
      <c r="S60" t="s">
        <v>46</v>
      </c>
      <c r="T60" t="s">
        <v>38</v>
      </c>
      <c r="U60">
        <v>1</v>
      </c>
      <c r="W60">
        <v>1</v>
      </c>
      <c r="X60">
        <v>0</v>
      </c>
      <c r="Y60">
        <v>0</v>
      </c>
      <c r="Z60" t="s">
        <v>39</v>
      </c>
      <c r="AA60" t="s">
        <v>40</v>
      </c>
      <c r="AB60" t="s">
        <v>41</v>
      </c>
    </row>
    <row r="61" spans="1:28" x14ac:dyDescent="0.35">
      <c r="A61" s="3">
        <v>46212</v>
      </c>
      <c r="B61">
        <v>209218</v>
      </c>
      <c r="C61" t="s">
        <v>61</v>
      </c>
      <c r="D61" t="s">
        <v>31</v>
      </c>
      <c r="E61" t="s">
        <v>62</v>
      </c>
      <c r="F61" t="s">
        <v>44</v>
      </c>
      <c r="G61">
        <v>3</v>
      </c>
      <c r="H61" t="s">
        <v>96</v>
      </c>
      <c r="I61" s="3">
        <v>46213</v>
      </c>
      <c r="J61" s="3">
        <v>46202.773101851853</v>
      </c>
      <c r="K61" s="9">
        <f t="shared" si="0"/>
        <v>28</v>
      </c>
      <c r="L61">
        <v>3066</v>
      </c>
      <c r="M61" t="s">
        <v>35</v>
      </c>
      <c r="N61">
        <v>0</v>
      </c>
      <c r="O61">
        <v>3</v>
      </c>
      <c r="P61">
        <v>0</v>
      </c>
      <c r="Q61">
        <v>0</v>
      </c>
      <c r="R61" t="s">
        <v>36</v>
      </c>
      <c r="S61" t="s">
        <v>46</v>
      </c>
      <c r="T61" t="s">
        <v>38</v>
      </c>
      <c r="U61">
        <v>2</v>
      </c>
      <c r="W61">
        <v>1</v>
      </c>
      <c r="X61">
        <v>0</v>
      </c>
      <c r="Y61">
        <v>0</v>
      </c>
      <c r="Z61" t="s">
        <v>39</v>
      </c>
      <c r="AA61" t="s">
        <v>40</v>
      </c>
      <c r="AB61" t="s">
        <v>41</v>
      </c>
    </row>
    <row r="62" spans="1:28" x14ac:dyDescent="0.35">
      <c r="A62" s="3">
        <v>46212</v>
      </c>
      <c r="B62">
        <v>209218</v>
      </c>
      <c r="C62" t="s">
        <v>94</v>
      </c>
      <c r="D62" t="s">
        <v>31</v>
      </c>
      <c r="E62" t="s">
        <v>95</v>
      </c>
      <c r="F62" t="s">
        <v>44</v>
      </c>
      <c r="G62">
        <v>1</v>
      </c>
      <c r="H62" t="s">
        <v>96</v>
      </c>
      <c r="I62" s="3">
        <v>46213</v>
      </c>
      <c r="J62" s="3">
        <v>46202.773101851853</v>
      </c>
      <c r="K62" s="9">
        <f t="shared" si="0"/>
        <v>28</v>
      </c>
      <c r="L62">
        <v>1920</v>
      </c>
      <c r="M62" t="s">
        <v>35</v>
      </c>
      <c r="N62">
        <v>0</v>
      </c>
      <c r="O62">
        <v>1</v>
      </c>
      <c r="P62">
        <v>0</v>
      </c>
      <c r="Q62">
        <v>0</v>
      </c>
      <c r="R62" t="s">
        <v>36</v>
      </c>
      <c r="S62" t="s">
        <v>46</v>
      </c>
      <c r="T62" t="s">
        <v>38</v>
      </c>
      <c r="U62">
        <v>3</v>
      </c>
      <c r="W62">
        <v>1</v>
      </c>
      <c r="X62">
        <v>0</v>
      </c>
      <c r="Y62">
        <v>0</v>
      </c>
      <c r="Z62" t="s">
        <v>39</v>
      </c>
      <c r="AA62" t="s">
        <v>40</v>
      </c>
      <c r="AB62" t="s">
        <v>41</v>
      </c>
    </row>
    <row r="63" spans="1:28" x14ac:dyDescent="0.35">
      <c r="A63" s="3">
        <v>46212</v>
      </c>
      <c r="B63">
        <v>209218</v>
      </c>
      <c r="C63" t="s">
        <v>97</v>
      </c>
      <c r="D63" t="s">
        <v>31</v>
      </c>
      <c r="E63" t="s">
        <v>98</v>
      </c>
      <c r="F63" t="s">
        <v>44</v>
      </c>
      <c r="G63">
        <v>2</v>
      </c>
      <c r="H63" t="s">
        <v>96</v>
      </c>
      <c r="I63" s="3">
        <v>46213</v>
      </c>
      <c r="J63" s="3">
        <v>46202.773101851853</v>
      </c>
      <c r="K63" s="9">
        <f t="shared" si="0"/>
        <v>28</v>
      </c>
      <c r="L63">
        <v>4285.6000000000004</v>
      </c>
      <c r="M63" t="s">
        <v>35</v>
      </c>
      <c r="N63">
        <v>0</v>
      </c>
      <c r="O63">
        <v>2</v>
      </c>
      <c r="P63">
        <v>0</v>
      </c>
      <c r="Q63">
        <v>0</v>
      </c>
      <c r="R63" t="s">
        <v>36</v>
      </c>
      <c r="S63" t="s">
        <v>46</v>
      </c>
      <c r="T63" t="s">
        <v>38</v>
      </c>
      <c r="U63">
        <v>4</v>
      </c>
      <c r="W63">
        <v>1</v>
      </c>
      <c r="X63">
        <v>0</v>
      </c>
      <c r="Y63">
        <v>0</v>
      </c>
      <c r="Z63" t="s">
        <v>39</v>
      </c>
      <c r="AA63" t="s">
        <v>40</v>
      </c>
      <c r="AB63" t="s">
        <v>41</v>
      </c>
    </row>
    <row r="64" spans="1:28" x14ac:dyDescent="0.35">
      <c r="A64" s="3">
        <v>46212</v>
      </c>
      <c r="B64">
        <v>209171</v>
      </c>
      <c r="C64" t="s">
        <v>94</v>
      </c>
      <c r="D64" t="s">
        <v>31</v>
      </c>
      <c r="E64" t="s">
        <v>95</v>
      </c>
      <c r="F64" t="s">
        <v>44</v>
      </c>
      <c r="G64">
        <v>1</v>
      </c>
      <c r="H64" t="s">
        <v>93</v>
      </c>
      <c r="I64" s="3">
        <v>46213</v>
      </c>
      <c r="J64" s="3">
        <v>46202.725173611114</v>
      </c>
      <c r="K64" s="9">
        <f t="shared" si="0"/>
        <v>28</v>
      </c>
      <c r="L64">
        <v>1920</v>
      </c>
      <c r="M64" t="s">
        <v>35</v>
      </c>
      <c r="N64">
        <v>0</v>
      </c>
      <c r="O64">
        <v>1</v>
      </c>
      <c r="P64">
        <v>0</v>
      </c>
      <c r="Q64">
        <v>0</v>
      </c>
      <c r="R64" t="s">
        <v>36</v>
      </c>
      <c r="S64" t="s">
        <v>46</v>
      </c>
      <c r="T64" t="s">
        <v>38</v>
      </c>
      <c r="U64">
        <v>1</v>
      </c>
      <c r="W64">
        <v>1</v>
      </c>
      <c r="X64">
        <v>0</v>
      </c>
      <c r="Y64">
        <v>0</v>
      </c>
      <c r="Z64" t="s">
        <v>39</v>
      </c>
      <c r="AA64" t="s">
        <v>40</v>
      </c>
      <c r="AB64" t="s">
        <v>41</v>
      </c>
    </row>
    <row r="65" spans="1:28" x14ac:dyDescent="0.35">
      <c r="A65" s="3">
        <v>46212</v>
      </c>
      <c r="B65">
        <v>208376</v>
      </c>
      <c r="C65" t="s">
        <v>83</v>
      </c>
      <c r="D65" t="s">
        <v>31</v>
      </c>
      <c r="E65" t="s">
        <v>84</v>
      </c>
      <c r="F65" t="s">
        <v>44</v>
      </c>
      <c r="G65">
        <v>2</v>
      </c>
      <c r="H65" t="s">
        <v>93</v>
      </c>
      <c r="I65" s="3">
        <v>46213</v>
      </c>
      <c r="J65" s="3">
        <v>46191.478946759256</v>
      </c>
      <c r="K65" s="9">
        <f t="shared" si="0"/>
        <v>28</v>
      </c>
      <c r="L65">
        <v>3137.2</v>
      </c>
      <c r="M65" t="s">
        <v>35</v>
      </c>
      <c r="N65">
        <v>0</v>
      </c>
      <c r="O65">
        <v>2</v>
      </c>
      <c r="P65">
        <v>0</v>
      </c>
      <c r="Q65">
        <v>0</v>
      </c>
      <c r="R65" t="s">
        <v>36</v>
      </c>
      <c r="S65" t="s">
        <v>46</v>
      </c>
      <c r="T65" t="s">
        <v>38</v>
      </c>
      <c r="U65">
        <v>1</v>
      </c>
      <c r="W65">
        <v>1</v>
      </c>
      <c r="X65">
        <v>0</v>
      </c>
      <c r="Y65">
        <v>0</v>
      </c>
      <c r="Z65" t="s">
        <v>39</v>
      </c>
      <c r="AA65" t="s">
        <v>40</v>
      </c>
      <c r="AB65" t="s">
        <v>41</v>
      </c>
    </row>
    <row r="66" spans="1:28" x14ac:dyDescent="0.35">
      <c r="A66" s="3">
        <v>46212</v>
      </c>
      <c r="B66">
        <v>208376</v>
      </c>
      <c r="C66" t="s">
        <v>59</v>
      </c>
      <c r="D66" t="s">
        <v>31</v>
      </c>
      <c r="E66" t="s">
        <v>60</v>
      </c>
      <c r="F66" t="s">
        <v>44</v>
      </c>
      <c r="G66">
        <v>4</v>
      </c>
      <c r="H66" t="s">
        <v>93</v>
      </c>
      <c r="I66" s="3">
        <v>46213</v>
      </c>
      <c r="J66" s="3">
        <v>46191.478946759256</v>
      </c>
      <c r="K66" s="9">
        <f t="shared" si="0"/>
        <v>28</v>
      </c>
      <c r="L66">
        <v>2472.8000000000002</v>
      </c>
      <c r="M66" t="s">
        <v>35</v>
      </c>
      <c r="N66">
        <v>0</v>
      </c>
      <c r="O66">
        <v>4</v>
      </c>
      <c r="P66">
        <v>0</v>
      </c>
      <c r="Q66">
        <v>0</v>
      </c>
      <c r="R66" t="s">
        <v>36</v>
      </c>
      <c r="S66" t="s">
        <v>46</v>
      </c>
      <c r="T66" t="s">
        <v>38</v>
      </c>
      <c r="U66">
        <v>2</v>
      </c>
      <c r="W66">
        <v>1</v>
      </c>
      <c r="X66">
        <v>0</v>
      </c>
      <c r="Y66">
        <v>0</v>
      </c>
      <c r="Z66" t="s">
        <v>39</v>
      </c>
      <c r="AA66" t="s">
        <v>40</v>
      </c>
      <c r="AB66" t="s">
        <v>41</v>
      </c>
    </row>
    <row r="67" spans="1:28" x14ac:dyDescent="0.35">
      <c r="A67" s="3">
        <v>46212</v>
      </c>
      <c r="B67">
        <v>208376</v>
      </c>
      <c r="C67" t="s">
        <v>55</v>
      </c>
      <c r="D67" t="s">
        <v>31</v>
      </c>
      <c r="E67" t="s">
        <v>56</v>
      </c>
      <c r="F67" t="s">
        <v>44</v>
      </c>
      <c r="G67">
        <v>7</v>
      </c>
      <c r="H67" t="s">
        <v>93</v>
      </c>
      <c r="I67" s="3">
        <v>46213</v>
      </c>
      <c r="J67" s="3">
        <v>46191.478946759256</v>
      </c>
      <c r="K67" s="9">
        <f t="shared" ref="K67:K130" si="1">WEEKNUM(A67)</f>
        <v>28</v>
      </c>
      <c r="L67">
        <v>6545</v>
      </c>
      <c r="M67" t="s">
        <v>35</v>
      </c>
      <c r="N67">
        <v>0</v>
      </c>
      <c r="O67">
        <v>7</v>
      </c>
      <c r="P67">
        <v>0</v>
      </c>
      <c r="Q67">
        <v>0</v>
      </c>
      <c r="R67" t="s">
        <v>36</v>
      </c>
      <c r="S67" t="s">
        <v>46</v>
      </c>
      <c r="T67" t="s">
        <v>38</v>
      </c>
      <c r="U67">
        <v>3</v>
      </c>
      <c r="W67">
        <v>1</v>
      </c>
      <c r="X67">
        <v>0</v>
      </c>
      <c r="Y67">
        <v>0</v>
      </c>
      <c r="Z67" t="s">
        <v>39</v>
      </c>
      <c r="AA67" t="s">
        <v>40</v>
      </c>
      <c r="AB67" t="s">
        <v>41</v>
      </c>
    </row>
    <row r="68" spans="1:28" x14ac:dyDescent="0.35">
      <c r="A68" s="3">
        <v>46212</v>
      </c>
      <c r="B68">
        <v>208357</v>
      </c>
      <c r="C68" t="s">
        <v>71</v>
      </c>
      <c r="D68" t="s">
        <v>31</v>
      </c>
      <c r="E68" t="s">
        <v>72</v>
      </c>
      <c r="F68" t="s">
        <v>44</v>
      </c>
      <c r="G68">
        <v>444</v>
      </c>
      <c r="H68" t="s">
        <v>45</v>
      </c>
      <c r="I68" s="3">
        <v>46213</v>
      </c>
      <c r="J68" s="3">
        <v>46191.459837962961</v>
      </c>
      <c r="K68" s="9">
        <f t="shared" si="1"/>
        <v>28</v>
      </c>
      <c r="L68">
        <v>250589.16</v>
      </c>
      <c r="M68" t="s">
        <v>35</v>
      </c>
      <c r="N68">
        <v>0</v>
      </c>
      <c r="O68">
        <v>444</v>
      </c>
      <c r="P68">
        <v>0</v>
      </c>
      <c r="Q68">
        <v>0</v>
      </c>
      <c r="R68" t="s">
        <v>36</v>
      </c>
      <c r="S68" t="s">
        <v>46</v>
      </c>
      <c r="T68" t="s">
        <v>38</v>
      </c>
      <c r="U68">
        <v>1</v>
      </c>
      <c r="W68">
        <v>1</v>
      </c>
      <c r="X68">
        <v>0</v>
      </c>
      <c r="Y68">
        <v>0</v>
      </c>
      <c r="Z68" t="s">
        <v>39</v>
      </c>
      <c r="AA68" t="s">
        <v>40</v>
      </c>
      <c r="AB68" t="s">
        <v>41</v>
      </c>
    </row>
    <row r="69" spans="1:28" x14ac:dyDescent="0.35">
      <c r="A69" s="3">
        <v>46212</v>
      </c>
      <c r="B69">
        <v>206843</v>
      </c>
      <c r="C69" t="s">
        <v>55</v>
      </c>
      <c r="D69" t="s">
        <v>31</v>
      </c>
      <c r="E69" t="s">
        <v>56</v>
      </c>
      <c r="F69" t="s">
        <v>44</v>
      </c>
      <c r="G69">
        <v>64</v>
      </c>
      <c r="H69" t="s">
        <v>45</v>
      </c>
      <c r="I69" s="3">
        <v>46213</v>
      </c>
      <c r="J69" s="3">
        <v>46168.513414351852</v>
      </c>
      <c r="K69" s="9">
        <f t="shared" si="1"/>
        <v>28</v>
      </c>
      <c r="L69">
        <v>54400</v>
      </c>
      <c r="M69" t="s">
        <v>35</v>
      </c>
      <c r="N69">
        <v>0</v>
      </c>
      <c r="O69">
        <v>64</v>
      </c>
      <c r="P69">
        <v>0</v>
      </c>
      <c r="Q69">
        <v>0</v>
      </c>
      <c r="R69" t="s">
        <v>36</v>
      </c>
      <c r="S69" t="s">
        <v>46</v>
      </c>
      <c r="T69" t="s">
        <v>38</v>
      </c>
      <c r="U69">
        <v>1</v>
      </c>
      <c r="W69">
        <v>1</v>
      </c>
      <c r="X69">
        <v>0</v>
      </c>
      <c r="Y69">
        <v>0</v>
      </c>
      <c r="Z69" t="s">
        <v>39</v>
      </c>
      <c r="AA69" t="s">
        <v>40</v>
      </c>
      <c r="AB69" t="s">
        <v>41</v>
      </c>
    </row>
    <row r="70" spans="1:28" x14ac:dyDescent="0.35">
      <c r="A70" s="3">
        <v>46213</v>
      </c>
      <c r="B70">
        <v>208771</v>
      </c>
      <c r="C70" t="s">
        <v>83</v>
      </c>
      <c r="D70" t="s">
        <v>31</v>
      </c>
      <c r="E70" t="s">
        <v>84</v>
      </c>
      <c r="F70" t="s">
        <v>44</v>
      </c>
      <c r="G70">
        <v>2</v>
      </c>
      <c r="H70" t="s">
        <v>93</v>
      </c>
      <c r="I70" s="3">
        <v>46216</v>
      </c>
      <c r="J70" s="3">
        <v>46196.475914351853</v>
      </c>
      <c r="K70" s="9">
        <f t="shared" si="1"/>
        <v>28</v>
      </c>
      <c r="L70">
        <v>3137.2</v>
      </c>
      <c r="M70" t="s">
        <v>35</v>
      </c>
      <c r="N70">
        <v>0</v>
      </c>
      <c r="O70">
        <v>2</v>
      </c>
      <c r="P70">
        <v>0</v>
      </c>
      <c r="Q70">
        <v>0</v>
      </c>
      <c r="R70" t="s">
        <v>36</v>
      </c>
      <c r="S70" t="s">
        <v>46</v>
      </c>
      <c r="T70" t="s">
        <v>38</v>
      </c>
      <c r="U70">
        <v>1</v>
      </c>
      <c r="W70">
        <v>1</v>
      </c>
      <c r="X70">
        <v>0</v>
      </c>
      <c r="Y70">
        <v>0</v>
      </c>
      <c r="Z70" t="s">
        <v>39</v>
      </c>
      <c r="AA70" t="s">
        <v>40</v>
      </c>
      <c r="AB70" t="s">
        <v>41</v>
      </c>
    </row>
    <row r="71" spans="1:28" x14ac:dyDescent="0.35">
      <c r="A71" s="3">
        <v>46213</v>
      </c>
      <c r="B71">
        <v>208770</v>
      </c>
      <c r="C71" t="s">
        <v>61</v>
      </c>
      <c r="D71" t="s">
        <v>31</v>
      </c>
      <c r="E71" t="s">
        <v>62</v>
      </c>
      <c r="F71" t="s">
        <v>44</v>
      </c>
      <c r="G71">
        <v>7</v>
      </c>
      <c r="H71" t="s">
        <v>93</v>
      </c>
      <c r="I71" s="3">
        <v>46216</v>
      </c>
      <c r="J71" s="3">
        <v>46196.474791666667</v>
      </c>
      <c r="K71" s="9">
        <f t="shared" si="1"/>
        <v>28</v>
      </c>
      <c r="L71">
        <v>7154</v>
      </c>
      <c r="M71" t="s">
        <v>35</v>
      </c>
      <c r="N71">
        <v>0</v>
      </c>
      <c r="O71">
        <v>7</v>
      </c>
      <c r="P71">
        <v>0</v>
      </c>
      <c r="Q71">
        <v>0</v>
      </c>
      <c r="R71" t="s">
        <v>36</v>
      </c>
      <c r="S71" t="s">
        <v>46</v>
      </c>
      <c r="T71" t="s">
        <v>38</v>
      </c>
      <c r="U71">
        <v>1</v>
      </c>
      <c r="W71">
        <v>1</v>
      </c>
      <c r="X71">
        <v>0</v>
      </c>
      <c r="Y71">
        <v>0</v>
      </c>
      <c r="Z71" t="s">
        <v>39</v>
      </c>
      <c r="AA71" t="s">
        <v>40</v>
      </c>
      <c r="AB71" t="s">
        <v>41</v>
      </c>
    </row>
    <row r="72" spans="1:28" x14ac:dyDescent="0.35">
      <c r="A72" s="3">
        <v>46213</v>
      </c>
      <c r="B72">
        <v>208770</v>
      </c>
      <c r="C72" t="s">
        <v>94</v>
      </c>
      <c r="D72" t="s">
        <v>31</v>
      </c>
      <c r="E72" t="s">
        <v>95</v>
      </c>
      <c r="F72" t="s">
        <v>44</v>
      </c>
      <c r="G72">
        <v>1</v>
      </c>
      <c r="H72" t="s">
        <v>93</v>
      </c>
      <c r="I72" s="3">
        <v>46216</v>
      </c>
      <c r="J72" s="3">
        <v>46196.474791666667</v>
      </c>
      <c r="K72" s="9">
        <f t="shared" si="1"/>
        <v>28</v>
      </c>
      <c r="L72">
        <v>1920</v>
      </c>
      <c r="M72" t="s">
        <v>35</v>
      </c>
      <c r="N72">
        <v>0</v>
      </c>
      <c r="O72">
        <v>1</v>
      </c>
      <c r="P72">
        <v>0</v>
      </c>
      <c r="Q72">
        <v>0</v>
      </c>
      <c r="R72" t="s">
        <v>36</v>
      </c>
      <c r="S72" t="s">
        <v>46</v>
      </c>
      <c r="T72" t="s">
        <v>38</v>
      </c>
      <c r="U72">
        <v>2</v>
      </c>
      <c r="W72">
        <v>1</v>
      </c>
      <c r="X72">
        <v>0</v>
      </c>
      <c r="Y72">
        <v>0</v>
      </c>
      <c r="Z72" t="s">
        <v>39</v>
      </c>
      <c r="AA72" t="s">
        <v>40</v>
      </c>
      <c r="AB72" t="s">
        <v>41</v>
      </c>
    </row>
    <row r="73" spans="1:28" x14ac:dyDescent="0.35">
      <c r="A73" s="3">
        <v>46219</v>
      </c>
      <c r="B73">
        <v>209953</v>
      </c>
      <c r="C73" t="s">
        <v>57</v>
      </c>
      <c r="D73" t="s">
        <v>31</v>
      </c>
      <c r="E73" t="s">
        <v>58</v>
      </c>
      <c r="F73" t="s">
        <v>44</v>
      </c>
      <c r="G73">
        <v>5</v>
      </c>
      <c r="H73" t="s">
        <v>34</v>
      </c>
      <c r="I73" s="3">
        <v>46220</v>
      </c>
      <c r="J73" s="3">
        <v>46213.488912037035</v>
      </c>
      <c r="K73" s="9">
        <f t="shared" si="1"/>
        <v>29</v>
      </c>
      <c r="L73">
        <v>12650</v>
      </c>
      <c r="M73" t="s">
        <v>35</v>
      </c>
      <c r="N73">
        <v>0</v>
      </c>
      <c r="O73">
        <v>5</v>
      </c>
      <c r="P73">
        <v>0</v>
      </c>
      <c r="Q73">
        <v>0</v>
      </c>
      <c r="R73" t="s">
        <v>36</v>
      </c>
      <c r="S73" t="s">
        <v>46</v>
      </c>
      <c r="T73" t="s">
        <v>38</v>
      </c>
      <c r="U73">
        <v>1</v>
      </c>
      <c r="W73">
        <v>1</v>
      </c>
      <c r="X73">
        <v>0</v>
      </c>
      <c r="Y73">
        <v>0</v>
      </c>
      <c r="Z73" t="s">
        <v>39</v>
      </c>
      <c r="AA73" t="s">
        <v>40</v>
      </c>
      <c r="AB73" t="s">
        <v>41</v>
      </c>
    </row>
    <row r="74" spans="1:28" x14ac:dyDescent="0.35">
      <c r="A74" s="3">
        <v>46219</v>
      </c>
      <c r="B74">
        <v>209881</v>
      </c>
      <c r="C74" t="s">
        <v>99</v>
      </c>
      <c r="D74" t="s">
        <v>31</v>
      </c>
      <c r="E74" t="s">
        <v>100</v>
      </c>
      <c r="F74" t="s">
        <v>44</v>
      </c>
      <c r="G74">
        <v>26</v>
      </c>
      <c r="H74" t="s">
        <v>34</v>
      </c>
      <c r="I74" s="3">
        <v>46220</v>
      </c>
      <c r="J74" s="3">
        <v>46213.420682870368</v>
      </c>
      <c r="K74" s="9">
        <f t="shared" si="1"/>
        <v>29</v>
      </c>
      <c r="L74">
        <v>33250.1</v>
      </c>
      <c r="M74" t="s">
        <v>35</v>
      </c>
      <c r="N74">
        <v>0</v>
      </c>
      <c r="O74">
        <v>26</v>
      </c>
      <c r="P74">
        <v>0</v>
      </c>
      <c r="Q74">
        <v>0</v>
      </c>
      <c r="R74" t="s">
        <v>36</v>
      </c>
      <c r="S74" t="s">
        <v>46</v>
      </c>
      <c r="T74" t="s">
        <v>38</v>
      </c>
      <c r="U74">
        <v>1</v>
      </c>
      <c r="W74">
        <v>1</v>
      </c>
      <c r="X74">
        <v>0</v>
      </c>
      <c r="Y74">
        <v>0</v>
      </c>
      <c r="Z74" t="s">
        <v>39</v>
      </c>
      <c r="AA74" t="s">
        <v>40</v>
      </c>
      <c r="AB74" t="s">
        <v>41</v>
      </c>
    </row>
    <row r="75" spans="1:28" x14ac:dyDescent="0.35">
      <c r="A75" s="3">
        <v>46219</v>
      </c>
      <c r="B75">
        <v>209219</v>
      </c>
      <c r="C75" t="s">
        <v>51</v>
      </c>
      <c r="D75" t="s">
        <v>31</v>
      </c>
      <c r="E75" t="s">
        <v>52</v>
      </c>
      <c r="F75" t="s">
        <v>44</v>
      </c>
      <c r="G75">
        <v>3</v>
      </c>
      <c r="H75" t="s">
        <v>96</v>
      </c>
      <c r="I75" s="3">
        <v>46220</v>
      </c>
      <c r="J75" s="3">
        <v>46202.774155092593</v>
      </c>
      <c r="K75" s="9">
        <f t="shared" si="1"/>
        <v>29</v>
      </c>
      <c r="L75">
        <v>1900.8</v>
      </c>
      <c r="M75" t="s">
        <v>35</v>
      </c>
      <c r="N75">
        <v>0</v>
      </c>
      <c r="O75">
        <v>3</v>
      </c>
      <c r="P75">
        <v>0</v>
      </c>
      <c r="Q75">
        <v>0</v>
      </c>
      <c r="R75" t="s">
        <v>36</v>
      </c>
      <c r="S75" t="s">
        <v>46</v>
      </c>
      <c r="T75" t="s">
        <v>38</v>
      </c>
      <c r="U75">
        <v>1</v>
      </c>
      <c r="W75">
        <v>1</v>
      </c>
      <c r="X75">
        <v>0</v>
      </c>
      <c r="Y75">
        <v>0</v>
      </c>
      <c r="Z75" t="s">
        <v>39</v>
      </c>
      <c r="AA75" t="s">
        <v>40</v>
      </c>
      <c r="AB75" t="s">
        <v>41</v>
      </c>
    </row>
    <row r="76" spans="1:28" x14ac:dyDescent="0.35">
      <c r="A76" s="3">
        <v>46219</v>
      </c>
      <c r="B76">
        <v>209219</v>
      </c>
      <c r="C76" t="s">
        <v>61</v>
      </c>
      <c r="D76" t="s">
        <v>31</v>
      </c>
      <c r="E76" t="s">
        <v>62</v>
      </c>
      <c r="F76" t="s">
        <v>44</v>
      </c>
      <c r="G76">
        <v>3</v>
      </c>
      <c r="H76" t="s">
        <v>96</v>
      </c>
      <c r="I76" s="3">
        <v>46220</v>
      </c>
      <c r="J76" s="3">
        <v>46202.774155092593</v>
      </c>
      <c r="K76" s="9">
        <f t="shared" si="1"/>
        <v>29</v>
      </c>
      <c r="L76">
        <v>3066</v>
      </c>
      <c r="M76" t="s">
        <v>35</v>
      </c>
      <c r="N76">
        <v>0</v>
      </c>
      <c r="O76">
        <v>3</v>
      </c>
      <c r="P76">
        <v>0</v>
      </c>
      <c r="Q76">
        <v>0</v>
      </c>
      <c r="R76" t="s">
        <v>36</v>
      </c>
      <c r="S76" t="s">
        <v>46</v>
      </c>
      <c r="T76" t="s">
        <v>38</v>
      </c>
      <c r="U76">
        <v>2</v>
      </c>
      <c r="W76">
        <v>1</v>
      </c>
      <c r="X76">
        <v>0</v>
      </c>
      <c r="Y76">
        <v>0</v>
      </c>
      <c r="Z76" t="s">
        <v>39</v>
      </c>
      <c r="AA76" t="s">
        <v>40</v>
      </c>
      <c r="AB76" t="s">
        <v>41</v>
      </c>
    </row>
    <row r="77" spans="1:28" x14ac:dyDescent="0.35">
      <c r="A77" s="3">
        <v>46219</v>
      </c>
      <c r="B77">
        <v>209219</v>
      </c>
      <c r="C77" t="s">
        <v>97</v>
      </c>
      <c r="D77" t="s">
        <v>31</v>
      </c>
      <c r="E77" t="s">
        <v>98</v>
      </c>
      <c r="F77" t="s">
        <v>44</v>
      </c>
      <c r="G77">
        <v>1</v>
      </c>
      <c r="H77" t="s">
        <v>96</v>
      </c>
      <c r="I77" s="3">
        <v>46220</v>
      </c>
      <c r="J77" s="3">
        <v>46202.774155092593</v>
      </c>
      <c r="K77" s="9">
        <f t="shared" si="1"/>
        <v>29</v>
      </c>
      <c r="L77">
        <v>2142.8000000000002</v>
      </c>
      <c r="M77" t="s">
        <v>35</v>
      </c>
      <c r="N77">
        <v>0</v>
      </c>
      <c r="O77">
        <v>1</v>
      </c>
      <c r="P77">
        <v>0</v>
      </c>
      <c r="Q77">
        <v>0</v>
      </c>
      <c r="R77" t="s">
        <v>36</v>
      </c>
      <c r="S77" t="s">
        <v>46</v>
      </c>
      <c r="T77" t="s">
        <v>38</v>
      </c>
      <c r="U77">
        <v>3</v>
      </c>
      <c r="W77">
        <v>1</v>
      </c>
      <c r="X77">
        <v>0</v>
      </c>
      <c r="Y77">
        <v>0</v>
      </c>
      <c r="Z77" t="s">
        <v>39</v>
      </c>
      <c r="AA77" t="s">
        <v>40</v>
      </c>
      <c r="AB77" t="s">
        <v>41</v>
      </c>
    </row>
    <row r="78" spans="1:28" x14ac:dyDescent="0.35">
      <c r="A78" s="3">
        <v>46219</v>
      </c>
      <c r="B78">
        <v>208383</v>
      </c>
      <c r="C78" t="s">
        <v>101</v>
      </c>
      <c r="D78" t="s">
        <v>31</v>
      </c>
      <c r="E78" t="s">
        <v>102</v>
      </c>
      <c r="F78" t="s">
        <v>44</v>
      </c>
      <c r="G78">
        <v>1</v>
      </c>
      <c r="H78" t="s">
        <v>93</v>
      </c>
      <c r="I78" s="3">
        <v>46220</v>
      </c>
      <c r="J78" s="3">
        <v>46191.484247685185</v>
      </c>
      <c r="K78" s="9">
        <f t="shared" si="1"/>
        <v>29</v>
      </c>
      <c r="L78">
        <v>1040</v>
      </c>
      <c r="M78" t="s">
        <v>35</v>
      </c>
      <c r="N78">
        <v>0</v>
      </c>
      <c r="O78">
        <v>1</v>
      </c>
      <c r="P78">
        <v>0</v>
      </c>
      <c r="Q78">
        <v>0</v>
      </c>
      <c r="R78" t="s">
        <v>36</v>
      </c>
      <c r="S78" t="s">
        <v>46</v>
      </c>
      <c r="T78" t="s">
        <v>38</v>
      </c>
      <c r="U78">
        <v>1</v>
      </c>
      <c r="W78">
        <v>1</v>
      </c>
      <c r="X78">
        <v>0</v>
      </c>
      <c r="Y78">
        <v>0</v>
      </c>
      <c r="Z78" t="s">
        <v>39</v>
      </c>
      <c r="AA78" t="s">
        <v>40</v>
      </c>
      <c r="AB78" t="s">
        <v>41</v>
      </c>
    </row>
    <row r="79" spans="1:28" x14ac:dyDescent="0.35">
      <c r="A79" s="3">
        <v>46219</v>
      </c>
      <c r="B79">
        <v>208383</v>
      </c>
      <c r="C79" t="s">
        <v>53</v>
      </c>
      <c r="D79" t="s">
        <v>31</v>
      </c>
      <c r="E79" t="s">
        <v>54</v>
      </c>
      <c r="F79" t="s">
        <v>44</v>
      </c>
      <c r="G79">
        <v>2</v>
      </c>
      <c r="H79" t="s">
        <v>93</v>
      </c>
      <c r="I79" s="3">
        <v>46220</v>
      </c>
      <c r="J79" s="3">
        <v>46191.484247685185</v>
      </c>
      <c r="K79" s="9">
        <f t="shared" si="1"/>
        <v>29</v>
      </c>
      <c r="L79">
        <v>2225.14</v>
      </c>
      <c r="M79" t="s">
        <v>35</v>
      </c>
      <c r="N79">
        <v>0</v>
      </c>
      <c r="O79">
        <v>2</v>
      </c>
      <c r="P79">
        <v>0</v>
      </c>
      <c r="Q79">
        <v>0</v>
      </c>
      <c r="R79" t="s">
        <v>36</v>
      </c>
      <c r="S79" t="s">
        <v>46</v>
      </c>
      <c r="T79" t="s">
        <v>38</v>
      </c>
      <c r="U79">
        <v>2</v>
      </c>
      <c r="W79">
        <v>1</v>
      </c>
      <c r="X79">
        <v>0</v>
      </c>
      <c r="Y79">
        <v>0</v>
      </c>
      <c r="Z79" t="s">
        <v>39</v>
      </c>
      <c r="AA79" t="s">
        <v>40</v>
      </c>
      <c r="AB79" t="s">
        <v>41</v>
      </c>
    </row>
    <row r="80" spans="1:28" x14ac:dyDescent="0.35">
      <c r="A80" s="3">
        <v>46219</v>
      </c>
      <c r="B80">
        <v>208383</v>
      </c>
      <c r="C80" t="s">
        <v>83</v>
      </c>
      <c r="D80" t="s">
        <v>31</v>
      </c>
      <c r="E80" t="s">
        <v>84</v>
      </c>
      <c r="F80" t="s">
        <v>44</v>
      </c>
      <c r="G80">
        <v>3</v>
      </c>
      <c r="H80" t="s">
        <v>93</v>
      </c>
      <c r="I80" s="3">
        <v>46220</v>
      </c>
      <c r="J80" s="3">
        <v>46191.484247685185</v>
      </c>
      <c r="K80" s="9">
        <f t="shared" si="1"/>
        <v>29</v>
      </c>
      <c r="L80">
        <v>4705.8</v>
      </c>
      <c r="M80" t="s">
        <v>35</v>
      </c>
      <c r="N80">
        <v>0</v>
      </c>
      <c r="O80">
        <v>3</v>
      </c>
      <c r="P80">
        <v>0</v>
      </c>
      <c r="Q80">
        <v>0</v>
      </c>
      <c r="R80" t="s">
        <v>36</v>
      </c>
      <c r="S80" t="s">
        <v>46</v>
      </c>
      <c r="T80" t="s">
        <v>38</v>
      </c>
      <c r="U80">
        <v>3</v>
      </c>
      <c r="W80">
        <v>1</v>
      </c>
      <c r="X80">
        <v>0</v>
      </c>
      <c r="Y80">
        <v>0</v>
      </c>
      <c r="Z80" t="s">
        <v>39</v>
      </c>
      <c r="AA80" t="s">
        <v>40</v>
      </c>
      <c r="AB80" t="s">
        <v>41</v>
      </c>
    </row>
    <row r="81" spans="1:28" x14ac:dyDescent="0.35">
      <c r="A81" s="3">
        <v>46219</v>
      </c>
      <c r="B81">
        <v>208383</v>
      </c>
      <c r="C81" t="s">
        <v>59</v>
      </c>
      <c r="D81" t="s">
        <v>31</v>
      </c>
      <c r="E81" t="s">
        <v>60</v>
      </c>
      <c r="F81" t="s">
        <v>44</v>
      </c>
      <c r="G81">
        <v>4</v>
      </c>
      <c r="H81" t="s">
        <v>93</v>
      </c>
      <c r="I81" s="3">
        <v>46220</v>
      </c>
      <c r="J81" s="3">
        <v>46191.484247685185</v>
      </c>
      <c r="K81" s="9">
        <f t="shared" si="1"/>
        <v>29</v>
      </c>
      <c r="L81">
        <v>2472.8000000000002</v>
      </c>
      <c r="M81" t="s">
        <v>35</v>
      </c>
      <c r="N81">
        <v>0</v>
      </c>
      <c r="O81">
        <v>4</v>
      </c>
      <c r="P81">
        <v>0</v>
      </c>
      <c r="Q81">
        <v>0</v>
      </c>
      <c r="R81" t="s">
        <v>36</v>
      </c>
      <c r="S81" t="s">
        <v>46</v>
      </c>
      <c r="T81" t="s">
        <v>38</v>
      </c>
      <c r="U81">
        <v>4</v>
      </c>
      <c r="W81">
        <v>1</v>
      </c>
      <c r="X81">
        <v>0</v>
      </c>
      <c r="Y81">
        <v>0</v>
      </c>
      <c r="Z81" t="s">
        <v>39</v>
      </c>
      <c r="AA81" t="s">
        <v>40</v>
      </c>
      <c r="AB81" t="s">
        <v>41</v>
      </c>
    </row>
    <row r="82" spans="1:28" x14ac:dyDescent="0.35">
      <c r="A82" s="3">
        <v>46219</v>
      </c>
      <c r="B82">
        <v>208383</v>
      </c>
      <c r="C82" t="s">
        <v>61</v>
      </c>
      <c r="D82" t="s">
        <v>31</v>
      </c>
      <c r="E82" t="s">
        <v>62</v>
      </c>
      <c r="F82" t="s">
        <v>44</v>
      </c>
      <c r="G82">
        <v>9</v>
      </c>
      <c r="H82" t="s">
        <v>93</v>
      </c>
      <c r="I82" s="3">
        <v>46220</v>
      </c>
      <c r="J82" s="3">
        <v>46191.484247685185</v>
      </c>
      <c r="K82" s="9">
        <f t="shared" si="1"/>
        <v>29</v>
      </c>
      <c r="L82">
        <v>9198</v>
      </c>
      <c r="M82" t="s">
        <v>35</v>
      </c>
      <c r="N82">
        <v>0</v>
      </c>
      <c r="O82">
        <v>9</v>
      </c>
      <c r="P82">
        <v>0</v>
      </c>
      <c r="Q82">
        <v>0</v>
      </c>
      <c r="R82" t="s">
        <v>36</v>
      </c>
      <c r="S82" t="s">
        <v>46</v>
      </c>
      <c r="T82" t="s">
        <v>38</v>
      </c>
      <c r="U82">
        <v>5</v>
      </c>
      <c r="W82">
        <v>1</v>
      </c>
      <c r="X82">
        <v>0</v>
      </c>
      <c r="Y82">
        <v>0</v>
      </c>
      <c r="Z82" t="s">
        <v>39</v>
      </c>
      <c r="AA82" t="s">
        <v>40</v>
      </c>
      <c r="AB82" t="s">
        <v>41</v>
      </c>
    </row>
    <row r="83" spans="1:28" x14ac:dyDescent="0.35">
      <c r="A83" s="3">
        <v>46219</v>
      </c>
      <c r="B83">
        <v>208383</v>
      </c>
      <c r="C83" t="s">
        <v>94</v>
      </c>
      <c r="D83" t="s">
        <v>31</v>
      </c>
      <c r="E83" t="s">
        <v>95</v>
      </c>
      <c r="F83" t="s">
        <v>44</v>
      </c>
      <c r="G83">
        <v>1</v>
      </c>
      <c r="H83" t="s">
        <v>93</v>
      </c>
      <c r="I83" s="3">
        <v>46220</v>
      </c>
      <c r="J83" s="3">
        <v>46191.484247685185</v>
      </c>
      <c r="K83" s="9">
        <f t="shared" si="1"/>
        <v>29</v>
      </c>
      <c r="L83">
        <v>1920</v>
      </c>
      <c r="M83" t="s">
        <v>35</v>
      </c>
      <c r="N83">
        <v>0</v>
      </c>
      <c r="O83">
        <v>1</v>
      </c>
      <c r="P83">
        <v>0</v>
      </c>
      <c r="Q83">
        <v>0</v>
      </c>
      <c r="R83" t="s">
        <v>36</v>
      </c>
      <c r="S83" t="s">
        <v>46</v>
      </c>
      <c r="T83" t="s">
        <v>38</v>
      </c>
      <c r="U83">
        <v>6</v>
      </c>
      <c r="W83">
        <v>1</v>
      </c>
      <c r="X83">
        <v>0</v>
      </c>
      <c r="Y83">
        <v>0</v>
      </c>
      <c r="Z83" t="s">
        <v>39</v>
      </c>
      <c r="AA83" t="s">
        <v>40</v>
      </c>
      <c r="AB83" t="s">
        <v>41</v>
      </c>
    </row>
    <row r="84" spans="1:28" x14ac:dyDescent="0.35">
      <c r="A84" s="3">
        <v>46219</v>
      </c>
      <c r="B84">
        <v>208383</v>
      </c>
      <c r="C84" t="s">
        <v>30</v>
      </c>
      <c r="D84" t="s">
        <v>31</v>
      </c>
      <c r="E84" t="s">
        <v>32</v>
      </c>
      <c r="F84" t="s">
        <v>33</v>
      </c>
      <c r="G84">
        <v>2</v>
      </c>
      <c r="H84" t="s">
        <v>93</v>
      </c>
      <c r="I84" s="3">
        <v>46220</v>
      </c>
      <c r="J84" s="3">
        <v>46191.484247685185</v>
      </c>
      <c r="K84" s="9">
        <f t="shared" si="1"/>
        <v>29</v>
      </c>
      <c r="L84">
        <v>0</v>
      </c>
      <c r="M84" t="s">
        <v>35</v>
      </c>
      <c r="N84">
        <v>0</v>
      </c>
      <c r="O84">
        <v>2</v>
      </c>
      <c r="P84">
        <v>0</v>
      </c>
      <c r="Q84">
        <v>0</v>
      </c>
      <c r="R84" t="s">
        <v>36</v>
      </c>
      <c r="S84" t="s">
        <v>46</v>
      </c>
      <c r="T84" t="s">
        <v>38</v>
      </c>
      <c r="U84">
        <v>7</v>
      </c>
      <c r="W84">
        <v>1</v>
      </c>
      <c r="X84">
        <v>0</v>
      </c>
      <c r="Y84">
        <v>0</v>
      </c>
      <c r="Z84" t="s">
        <v>39</v>
      </c>
      <c r="AA84" t="s">
        <v>40</v>
      </c>
      <c r="AB84" t="s">
        <v>41</v>
      </c>
    </row>
    <row r="85" spans="1:28" x14ac:dyDescent="0.35">
      <c r="A85" s="3">
        <v>46219</v>
      </c>
      <c r="B85">
        <v>208383</v>
      </c>
      <c r="C85" t="s">
        <v>55</v>
      </c>
      <c r="D85" t="s">
        <v>31</v>
      </c>
      <c r="E85" t="s">
        <v>56</v>
      </c>
      <c r="F85" t="s">
        <v>44</v>
      </c>
      <c r="G85">
        <v>7</v>
      </c>
      <c r="H85" t="s">
        <v>93</v>
      </c>
      <c r="I85" s="3">
        <v>46220</v>
      </c>
      <c r="J85" s="3">
        <v>46191.484247685185</v>
      </c>
      <c r="K85" s="9">
        <f t="shared" si="1"/>
        <v>29</v>
      </c>
      <c r="L85">
        <v>6545</v>
      </c>
      <c r="M85" t="s">
        <v>35</v>
      </c>
      <c r="N85">
        <v>0</v>
      </c>
      <c r="O85">
        <v>7</v>
      </c>
      <c r="P85">
        <v>0</v>
      </c>
      <c r="Q85">
        <v>0</v>
      </c>
      <c r="R85" t="s">
        <v>36</v>
      </c>
      <c r="S85" t="s">
        <v>46</v>
      </c>
      <c r="T85" t="s">
        <v>38</v>
      </c>
      <c r="U85">
        <v>8</v>
      </c>
      <c r="W85">
        <v>1</v>
      </c>
      <c r="X85">
        <v>0</v>
      </c>
      <c r="Y85">
        <v>0</v>
      </c>
      <c r="Z85" t="s">
        <v>39</v>
      </c>
      <c r="AA85" t="s">
        <v>40</v>
      </c>
      <c r="AB85" t="s">
        <v>41</v>
      </c>
    </row>
    <row r="86" spans="1:28" x14ac:dyDescent="0.35">
      <c r="A86" s="3">
        <v>46219</v>
      </c>
      <c r="B86">
        <v>208356</v>
      </c>
      <c r="C86" t="s">
        <v>71</v>
      </c>
      <c r="D86" t="s">
        <v>31</v>
      </c>
      <c r="E86" t="s">
        <v>72</v>
      </c>
      <c r="F86" t="s">
        <v>44</v>
      </c>
      <c r="G86">
        <v>300</v>
      </c>
      <c r="H86" t="s">
        <v>34</v>
      </c>
      <c r="I86" s="3">
        <v>46220</v>
      </c>
      <c r="J86" s="3">
        <v>46191.458773148152</v>
      </c>
      <c r="K86" s="9">
        <f t="shared" si="1"/>
        <v>29</v>
      </c>
      <c r="L86">
        <v>169317</v>
      </c>
      <c r="M86" t="s">
        <v>35</v>
      </c>
      <c r="N86">
        <v>0</v>
      </c>
      <c r="O86">
        <v>300</v>
      </c>
      <c r="P86">
        <v>0</v>
      </c>
      <c r="Q86">
        <v>0</v>
      </c>
      <c r="R86" t="s">
        <v>36</v>
      </c>
      <c r="S86" t="s">
        <v>46</v>
      </c>
      <c r="T86" t="s">
        <v>38</v>
      </c>
      <c r="U86">
        <v>1</v>
      </c>
      <c r="W86">
        <v>1</v>
      </c>
      <c r="X86">
        <v>0</v>
      </c>
      <c r="Y86">
        <v>0</v>
      </c>
      <c r="Z86" t="s">
        <v>39</v>
      </c>
      <c r="AA86" t="s">
        <v>40</v>
      </c>
      <c r="AB86" t="s">
        <v>41</v>
      </c>
    </row>
    <row r="87" spans="1:28" x14ac:dyDescent="0.35">
      <c r="A87" s="3">
        <v>46219</v>
      </c>
      <c r="B87">
        <v>208355</v>
      </c>
      <c r="C87" t="s">
        <v>71</v>
      </c>
      <c r="D87" t="s">
        <v>31</v>
      </c>
      <c r="E87" t="s">
        <v>72</v>
      </c>
      <c r="F87" t="s">
        <v>44</v>
      </c>
      <c r="G87">
        <v>443</v>
      </c>
      <c r="H87" t="s">
        <v>45</v>
      </c>
      <c r="I87" s="3">
        <v>46220</v>
      </c>
      <c r="J87" s="3">
        <v>46191.457719907405</v>
      </c>
      <c r="K87" s="9">
        <f t="shared" si="1"/>
        <v>29</v>
      </c>
      <c r="L87">
        <v>250024.77</v>
      </c>
      <c r="M87" t="s">
        <v>35</v>
      </c>
      <c r="N87">
        <v>0</v>
      </c>
      <c r="O87">
        <v>443</v>
      </c>
      <c r="P87">
        <v>0</v>
      </c>
      <c r="Q87">
        <v>0</v>
      </c>
      <c r="R87" t="s">
        <v>36</v>
      </c>
      <c r="S87" t="s">
        <v>46</v>
      </c>
      <c r="T87" t="s">
        <v>38</v>
      </c>
      <c r="U87">
        <v>1</v>
      </c>
      <c r="W87">
        <v>1</v>
      </c>
      <c r="X87">
        <v>0</v>
      </c>
      <c r="Y87">
        <v>0</v>
      </c>
      <c r="Z87" t="s">
        <v>39</v>
      </c>
      <c r="AA87" t="s">
        <v>40</v>
      </c>
      <c r="AB87" t="s">
        <v>41</v>
      </c>
    </row>
    <row r="88" spans="1:28" x14ac:dyDescent="0.35">
      <c r="A88" s="3">
        <v>46219</v>
      </c>
      <c r="B88">
        <v>207701</v>
      </c>
      <c r="C88" t="s">
        <v>49</v>
      </c>
      <c r="D88" t="s">
        <v>31</v>
      </c>
      <c r="E88" t="s">
        <v>50</v>
      </c>
      <c r="F88" t="s">
        <v>44</v>
      </c>
      <c r="G88">
        <v>23</v>
      </c>
      <c r="H88" t="s">
        <v>45</v>
      </c>
      <c r="I88" s="3">
        <v>46220</v>
      </c>
      <c r="J88" s="3">
        <v>46181.744155092594</v>
      </c>
      <c r="K88" s="9">
        <f t="shared" si="1"/>
        <v>29</v>
      </c>
      <c r="L88">
        <v>15617</v>
      </c>
      <c r="M88" t="s">
        <v>35</v>
      </c>
      <c r="N88">
        <v>0</v>
      </c>
      <c r="O88">
        <v>23</v>
      </c>
      <c r="P88">
        <v>0</v>
      </c>
      <c r="Q88">
        <v>0</v>
      </c>
      <c r="R88" t="s">
        <v>36</v>
      </c>
      <c r="S88" t="s">
        <v>46</v>
      </c>
      <c r="T88" t="s">
        <v>38</v>
      </c>
      <c r="U88">
        <v>1</v>
      </c>
      <c r="W88">
        <v>1</v>
      </c>
      <c r="X88">
        <v>0</v>
      </c>
      <c r="Y88">
        <v>0</v>
      </c>
      <c r="Z88" t="s">
        <v>39</v>
      </c>
      <c r="AA88" t="s">
        <v>40</v>
      </c>
      <c r="AB88" t="s">
        <v>41</v>
      </c>
    </row>
    <row r="89" spans="1:28" x14ac:dyDescent="0.35">
      <c r="A89" s="3">
        <v>46219</v>
      </c>
      <c r="B89">
        <v>207701</v>
      </c>
      <c r="C89" t="s">
        <v>42</v>
      </c>
      <c r="D89" t="s">
        <v>31</v>
      </c>
      <c r="E89" t="s">
        <v>43</v>
      </c>
      <c r="F89" t="s">
        <v>44</v>
      </c>
      <c r="G89">
        <v>24</v>
      </c>
      <c r="H89" t="s">
        <v>45</v>
      </c>
      <c r="I89" s="3">
        <v>46220</v>
      </c>
      <c r="J89" s="3">
        <v>46181.744155092594</v>
      </c>
      <c r="K89" s="9">
        <f t="shared" si="1"/>
        <v>29</v>
      </c>
      <c r="L89">
        <v>16296</v>
      </c>
      <c r="M89" t="s">
        <v>35</v>
      </c>
      <c r="N89">
        <v>0</v>
      </c>
      <c r="O89">
        <v>24</v>
      </c>
      <c r="P89">
        <v>0</v>
      </c>
      <c r="Q89">
        <v>0</v>
      </c>
      <c r="R89" t="s">
        <v>36</v>
      </c>
      <c r="S89" t="s">
        <v>46</v>
      </c>
      <c r="T89" t="s">
        <v>38</v>
      </c>
      <c r="U89">
        <v>2</v>
      </c>
      <c r="W89">
        <v>1</v>
      </c>
      <c r="X89">
        <v>0</v>
      </c>
      <c r="Y89">
        <v>0</v>
      </c>
      <c r="Z89" t="s">
        <v>39</v>
      </c>
      <c r="AA89" t="s">
        <v>40</v>
      </c>
      <c r="AB89" t="s">
        <v>41</v>
      </c>
    </row>
    <row r="90" spans="1:28" x14ac:dyDescent="0.35">
      <c r="A90" s="3">
        <v>46219</v>
      </c>
      <c r="B90">
        <v>206530</v>
      </c>
      <c r="C90" t="s">
        <v>83</v>
      </c>
      <c r="D90" t="s">
        <v>31</v>
      </c>
      <c r="E90" t="s">
        <v>84</v>
      </c>
      <c r="F90" t="s">
        <v>44</v>
      </c>
      <c r="G90">
        <v>45</v>
      </c>
      <c r="H90" t="s">
        <v>45</v>
      </c>
      <c r="I90" s="3">
        <v>46220</v>
      </c>
      <c r="J90" s="3">
        <v>46161.774247685185</v>
      </c>
      <c r="K90" s="9">
        <f t="shared" si="1"/>
        <v>29</v>
      </c>
      <c r="L90">
        <v>70587</v>
      </c>
      <c r="M90" t="s">
        <v>35</v>
      </c>
      <c r="N90">
        <v>0</v>
      </c>
      <c r="O90">
        <v>45</v>
      </c>
      <c r="P90">
        <v>0</v>
      </c>
      <c r="Q90">
        <v>0</v>
      </c>
      <c r="R90" t="s">
        <v>36</v>
      </c>
      <c r="S90" t="s">
        <v>46</v>
      </c>
      <c r="T90" t="s">
        <v>38</v>
      </c>
      <c r="U90">
        <v>1</v>
      </c>
      <c r="W90">
        <v>1</v>
      </c>
      <c r="X90">
        <v>0</v>
      </c>
      <c r="Y90">
        <v>0</v>
      </c>
      <c r="Z90" t="s">
        <v>39</v>
      </c>
      <c r="AA90" t="s">
        <v>40</v>
      </c>
      <c r="AB90" t="s">
        <v>41</v>
      </c>
    </row>
    <row r="91" spans="1:28" x14ac:dyDescent="0.35">
      <c r="A91" s="3">
        <v>46226</v>
      </c>
      <c r="B91">
        <v>210286</v>
      </c>
      <c r="C91" t="s">
        <v>91</v>
      </c>
      <c r="D91" t="s">
        <v>31</v>
      </c>
      <c r="E91" t="s">
        <v>92</v>
      </c>
      <c r="F91" t="s">
        <v>33</v>
      </c>
      <c r="G91">
        <v>2</v>
      </c>
      <c r="H91" t="s">
        <v>96</v>
      </c>
      <c r="I91" s="3">
        <v>46227</v>
      </c>
      <c r="J91" s="3">
        <v>46217.641342592593</v>
      </c>
      <c r="K91" s="9">
        <f t="shared" si="1"/>
        <v>30</v>
      </c>
      <c r="L91">
        <v>1060</v>
      </c>
      <c r="M91" t="s">
        <v>35</v>
      </c>
      <c r="N91">
        <v>0</v>
      </c>
      <c r="O91">
        <v>2</v>
      </c>
      <c r="P91">
        <v>0</v>
      </c>
      <c r="Q91">
        <v>0</v>
      </c>
      <c r="R91" t="s">
        <v>36</v>
      </c>
      <c r="S91" t="s">
        <v>46</v>
      </c>
      <c r="T91" t="s">
        <v>38</v>
      </c>
      <c r="U91">
        <v>1</v>
      </c>
      <c r="W91">
        <v>1</v>
      </c>
      <c r="X91">
        <v>0</v>
      </c>
      <c r="Y91">
        <v>0</v>
      </c>
      <c r="Z91" t="s">
        <v>39</v>
      </c>
      <c r="AA91" t="s">
        <v>40</v>
      </c>
      <c r="AB91" t="s">
        <v>41</v>
      </c>
    </row>
    <row r="92" spans="1:28" x14ac:dyDescent="0.35">
      <c r="A92" s="3">
        <v>46226</v>
      </c>
      <c r="B92">
        <v>210281</v>
      </c>
      <c r="C92" t="s">
        <v>77</v>
      </c>
      <c r="D92" t="s">
        <v>31</v>
      </c>
      <c r="E92" t="s">
        <v>78</v>
      </c>
      <c r="F92" t="s">
        <v>44</v>
      </c>
      <c r="G92">
        <v>5</v>
      </c>
      <c r="H92" t="s">
        <v>34</v>
      </c>
      <c r="I92" s="3">
        <v>46227</v>
      </c>
      <c r="J92" s="3">
        <v>46217.636030092595</v>
      </c>
      <c r="K92" s="9">
        <f t="shared" si="1"/>
        <v>30</v>
      </c>
      <c r="L92">
        <v>9350</v>
      </c>
      <c r="M92" t="s">
        <v>35</v>
      </c>
      <c r="N92">
        <v>0</v>
      </c>
      <c r="O92">
        <v>5</v>
      </c>
      <c r="P92">
        <v>0</v>
      </c>
      <c r="Q92">
        <v>0</v>
      </c>
      <c r="R92" t="s">
        <v>36</v>
      </c>
      <c r="S92" t="s">
        <v>46</v>
      </c>
      <c r="T92" t="s">
        <v>38</v>
      </c>
      <c r="U92">
        <v>1</v>
      </c>
      <c r="W92">
        <v>1</v>
      </c>
      <c r="X92">
        <v>0</v>
      </c>
      <c r="Y92">
        <v>0</v>
      </c>
      <c r="Z92" t="s">
        <v>39</v>
      </c>
      <c r="AA92" t="s">
        <v>40</v>
      </c>
      <c r="AB92" t="s">
        <v>41</v>
      </c>
    </row>
    <row r="93" spans="1:28" x14ac:dyDescent="0.35">
      <c r="A93" s="3">
        <v>46226</v>
      </c>
      <c r="B93">
        <v>210281</v>
      </c>
      <c r="C93" t="s">
        <v>87</v>
      </c>
      <c r="D93" t="s">
        <v>31</v>
      </c>
      <c r="E93" t="s">
        <v>88</v>
      </c>
      <c r="F93" t="s">
        <v>44</v>
      </c>
      <c r="G93">
        <v>6</v>
      </c>
      <c r="H93" t="s">
        <v>34</v>
      </c>
      <c r="I93" s="3">
        <v>46227</v>
      </c>
      <c r="J93" s="3">
        <v>46217.636030092595</v>
      </c>
      <c r="K93" s="9">
        <f t="shared" si="1"/>
        <v>30</v>
      </c>
      <c r="L93">
        <v>8764.7999999999993</v>
      </c>
      <c r="M93" t="s">
        <v>35</v>
      </c>
      <c r="N93">
        <v>0</v>
      </c>
      <c r="O93">
        <v>6</v>
      </c>
      <c r="P93">
        <v>0</v>
      </c>
      <c r="Q93">
        <v>0</v>
      </c>
      <c r="R93" t="s">
        <v>36</v>
      </c>
      <c r="S93" t="s">
        <v>46</v>
      </c>
      <c r="T93" t="s">
        <v>38</v>
      </c>
      <c r="U93">
        <v>2</v>
      </c>
      <c r="W93">
        <v>1</v>
      </c>
      <c r="X93">
        <v>0</v>
      </c>
      <c r="Y93">
        <v>0</v>
      </c>
      <c r="Z93" t="s">
        <v>39</v>
      </c>
      <c r="AA93" t="s">
        <v>40</v>
      </c>
      <c r="AB93" t="s">
        <v>41</v>
      </c>
    </row>
    <row r="94" spans="1:28" x14ac:dyDescent="0.35">
      <c r="A94" s="3">
        <v>46226</v>
      </c>
      <c r="B94">
        <v>210278</v>
      </c>
      <c r="C94" t="s">
        <v>91</v>
      </c>
      <c r="D94" t="s">
        <v>31</v>
      </c>
      <c r="E94" t="s">
        <v>92</v>
      </c>
      <c r="F94" t="s">
        <v>33</v>
      </c>
      <c r="G94">
        <v>6</v>
      </c>
      <c r="H94" t="s">
        <v>34</v>
      </c>
      <c r="I94" s="3">
        <v>46227</v>
      </c>
      <c r="J94" s="3">
        <v>46217.632847222223</v>
      </c>
      <c r="K94" s="9">
        <f t="shared" si="1"/>
        <v>30</v>
      </c>
      <c r="L94">
        <v>3180</v>
      </c>
      <c r="M94" t="s">
        <v>35</v>
      </c>
      <c r="N94">
        <v>0</v>
      </c>
      <c r="O94">
        <v>6</v>
      </c>
      <c r="P94">
        <v>0</v>
      </c>
      <c r="Q94">
        <v>0</v>
      </c>
      <c r="R94" t="s">
        <v>36</v>
      </c>
      <c r="S94" t="s">
        <v>46</v>
      </c>
      <c r="T94" t="s">
        <v>38</v>
      </c>
      <c r="U94">
        <v>1</v>
      </c>
      <c r="W94">
        <v>1</v>
      </c>
      <c r="X94">
        <v>0</v>
      </c>
      <c r="Y94">
        <v>0</v>
      </c>
      <c r="Z94" t="s">
        <v>39</v>
      </c>
      <c r="AA94" t="s">
        <v>40</v>
      </c>
      <c r="AB94" t="s">
        <v>41</v>
      </c>
    </row>
    <row r="95" spans="1:28" x14ac:dyDescent="0.35">
      <c r="A95" s="3">
        <v>46226</v>
      </c>
      <c r="B95">
        <v>209950</v>
      </c>
      <c r="C95" t="s">
        <v>83</v>
      </c>
      <c r="D95" t="s">
        <v>31</v>
      </c>
      <c r="E95" t="s">
        <v>84</v>
      </c>
      <c r="F95" t="s">
        <v>44</v>
      </c>
      <c r="G95">
        <v>4</v>
      </c>
      <c r="H95" t="s">
        <v>34</v>
      </c>
      <c r="I95" s="3">
        <v>46227</v>
      </c>
      <c r="J95" s="3">
        <v>46213.487847222219</v>
      </c>
      <c r="K95" s="9">
        <f t="shared" si="1"/>
        <v>30</v>
      </c>
      <c r="L95">
        <v>6274.4</v>
      </c>
      <c r="M95" t="s">
        <v>35</v>
      </c>
      <c r="N95">
        <v>0</v>
      </c>
      <c r="O95">
        <v>4</v>
      </c>
      <c r="P95">
        <v>0</v>
      </c>
      <c r="Q95">
        <v>0</v>
      </c>
      <c r="R95" t="s">
        <v>36</v>
      </c>
      <c r="S95" t="s">
        <v>46</v>
      </c>
      <c r="T95" t="s">
        <v>38</v>
      </c>
      <c r="U95">
        <v>1</v>
      </c>
      <c r="W95">
        <v>1</v>
      </c>
      <c r="X95">
        <v>0</v>
      </c>
      <c r="Y95">
        <v>0</v>
      </c>
      <c r="Z95" t="s">
        <v>39</v>
      </c>
      <c r="AA95" t="s">
        <v>40</v>
      </c>
      <c r="AB95" t="s">
        <v>41</v>
      </c>
    </row>
    <row r="96" spans="1:28" x14ac:dyDescent="0.35">
      <c r="A96" s="3">
        <v>46226</v>
      </c>
      <c r="B96">
        <v>209950</v>
      </c>
      <c r="C96" t="s">
        <v>85</v>
      </c>
      <c r="D96" t="s">
        <v>31</v>
      </c>
      <c r="E96" t="s">
        <v>86</v>
      </c>
      <c r="F96" t="s">
        <v>33</v>
      </c>
      <c r="G96">
        <v>2</v>
      </c>
      <c r="H96" t="s">
        <v>34</v>
      </c>
      <c r="I96" s="3">
        <v>46227</v>
      </c>
      <c r="J96" s="3">
        <v>46213.487847222219</v>
      </c>
      <c r="K96" s="9">
        <f t="shared" si="1"/>
        <v>30</v>
      </c>
      <c r="L96">
        <v>446</v>
      </c>
      <c r="M96" t="s">
        <v>35</v>
      </c>
      <c r="N96">
        <v>0</v>
      </c>
      <c r="O96">
        <v>2</v>
      </c>
      <c r="P96">
        <v>0</v>
      </c>
      <c r="Q96">
        <v>0</v>
      </c>
      <c r="R96" t="s">
        <v>36</v>
      </c>
      <c r="S96" t="s">
        <v>46</v>
      </c>
      <c r="T96" t="s">
        <v>38</v>
      </c>
      <c r="U96">
        <v>2</v>
      </c>
      <c r="W96">
        <v>1</v>
      </c>
      <c r="X96">
        <v>0</v>
      </c>
      <c r="Y96">
        <v>0</v>
      </c>
      <c r="Z96" t="s">
        <v>39</v>
      </c>
      <c r="AA96" t="s">
        <v>40</v>
      </c>
      <c r="AB96" t="s">
        <v>41</v>
      </c>
    </row>
    <row r="97" spans="1:28" x14ac:dyDescent="0.35">
      <c r="A97" s="3">
        <v>46226</v>
      </c>
      <c r="B97">
        <v>209942</v>
      </c>
      <c r="C97" t="s">
        <v>61</v>
      </c>
      <c r="D97" t="s">
        <v>31</v>
      </c>
      <c r="E97" t="s">
        <v>62</v>
      </c>
      <c r="F97" t="s">
        <v>44</v>
      </c>
      <c r="G97">
        <v>16</v>
      </c>
      <c r="H97" t="s">
        <v>45</v>
      </c>
      <c r="I97" s="3">
        <v>46227</v>
      </c>
      <c r="J97" s="3">
        <v>46213.482546296298</v>
      </c>
      <c r="K97" s="9">
        <f t="shared" si="1"/>
        <v>30</v>
      </c>
      <c r="L97">
        <v>16352</v>
      </c>
      <c r="M97" t="s">
        <v>35</v>
      </c>
      <c r="N97">
        <v>0</v>
      </c>
      <c r="O97">
        <v>16</v>
      </c>
      <c r="P97">
        <v>0</v>
      </c>
      <c r="Q97">
        <v>0</v>
      </c>
      <c r="R97" t="s">
        <v>36</v>
      </c>
      <c r="S97" t="s">
        <v>46</v>
      </c>
      <c r="T97" t="s">
        <v>38</v>
      </c>
      <c r="U97">
        <v>1</v>
      </c>
      <c r="W97">
        <v>1</v>
      </c>
      <c r="X97">
        <v>0</v>
      </c>
      <c r="Y97">
        <v>0</v>
      </c>
      <c r="Z97" t="s">
        <v>39</v>
      </c>
      <c r="AA97" t="s">
        <v>40</v>
      </c>
      <c r="AB97" t="s">
        <v>41</v>
      </c>
    </row>
    <row r="98" spans="1:28" x14ac:dyDescent="0.35">
      <c r="A98" s="3">
        <v>46226</v>
      </c>
      <c r="B98">
        <v>209883</v>
      </c>
      <c r="C98" t="s">
        <v>99</v>
      </c>
      <c r="D98" t="s">
        <v>31</v>
      </c>
      <c r="E98" t="s">
        <v>100</v>
      </c>
      <c r="F98" t="s">
        <v>44</v>
      </c>
      <c r="G98">
        <v>20</v>
      </c>
      <c r="H98" t="s">
        <v>34</v>
      </c>
      <c r="I98" s="3">
        <v>46227</v>
      </c>
      <c r="J98" s="3">
        <v>46213.422800925924</v>
      </c>
      <c r="K98" s="9">
        <f t="shared" si="1"/>
        <v>30</v>
      </c>
      <c r="L98">
        <v>25577</v>
      </c>
      <c r="M98" t="s">
        <v>35</v>
      </c>
      <c r="N98">
        <v>0</v>
      </c>
      <c r="O98">
        <v>20</v>
      </c>
      <c r="P98">
        <v>0</v>
      </c>
      <c r="Q98">
        <v>0</v>
      </c>
      <c r="R98" t="s">
        <v>36</v>
      </c>
      <c r="S98" t="s">
        <v>46</v>
      </c>
      <c r="T98" t="s">
        <v>38</v>
      </c>
      <c r="U98">
        <v>1</v>
      </c>
      <c r="W98">
        <v>1</v>
      </c>
      <c r="X98">
        <v>0</v>
      </c>
      <c r="Y98">
        <v>0</v>
      </c>
      <c r="Z98" t="s">
        <v>39</v>
      </c>
      <c r="AA98" t="s">
        <v>40</v>
      </c>
      <c r="AB98" t="s">
        <v>41</v>
      </c>
    </row>
    <row r="99" spans="1:28" x14ac:dyDescent="0.35">
      <c r="A99" s="3">
        <v>46226</v>
      </c>
      <c r="B99">
        <v>209216</v>
      </c>
      <c r="C99" t="s">
        <v>51</v>
      </c>
      <c r="D99" t="s">
        <v>31</v>
      </c>
      <c r="E99" t="s">
        <v>52</v>
      </c>
      <c r="F99" t="s">
        <v>44</v>
      </c>
      <c r="G99">
        <v>2</v>
      </c>
      <c r="H99" t="s">
        <v>96</v>
      </c>
      <c r="I99" s="3">
        <v>46227</v>
      </c>
      <c r="J99" s="3">
        <v>46202.770983796298</v>
      </c>
      <c r="K99" s="9">
        <f t="shared" si="1"/>
        <v>30</v>
      </c>
      <c r="L99">
        <v>1267.2</v>
      </c>
      <c r="M99" t="s">
        <v>35</v>
      </c>
      <c r="N99">
        <v>0</v>
      </c>
      <c r="O99">
        <v>2</v>
      </c>
      <c r="P99">
        <v>0</v>
      </c>
      <c r="Q99">
        <v>0</v>
      </c>
      <c r="R99" t="s">
        <v>36</v>
      </c>
      <c r="S99" t="s">
        <v>46</v>
      </c>
      <c r="T99" t="s">
        <v>38</v>
      </c>
      <c r="U99">
        <v>1</v>
      </c>
      <c r="W99">
        <v>1</v>
      </c>
      <c r="X99">
        <v>0</v>
      </c>
      <c r="Y99">
        <v>0</v>
      </c>
      <c r="Z99" t="s">
        <v>39</v>
      </c>
      <c r="AA99" t="s">
        <v>40</v>
      </c>
      <c r="AB99" t="s">
        <v>41</v>
      </c>
    </row>
    <row r="100" spans="1:28" x14ac:dyDescent="0.35">
      <c r="A100" s="3">
        <v>46226</v>
      </c>
      <c r="B100">
        <v>209216</v>
      </c>
      <c r="C100" t="s">
        <v>83</v>
      </c>
      <c r="D100" t="s">
        <v>31</v>
      </c>
      <c r="E100" t="s">
        <v>84</v>
      </c>
      <c r="F100" t="s">
        <v>44</v>
      </c>
      <c r="G100">
        <v>2</v>
      </c>
      <c r="H100" t="s">
        <v>96</v>
      </c>
      <c r="I100" s="3">
        <v>46227</v>
      </c>
      <c r="J100" s="3">
        <v>46202.770983796298</v>
      </c>
      <c r="K100" s="9">
        <f t="shared" si="1"/>
        <v>30</v>
      </c>
      <c r="L100">
        <v>3137.2</v>
      </c>
      <c r="M100" t="s">
        <v>35</v>
      </c>
      <c r="N100">
        <v>0</v>
      </c>
      <c r="O100">
        <v>2</v>
      </c>
      <c r="P100">
        <v>0</v>
      </c>
      <c r="Q100">
        <v>0</v>
      </c>
      <c r="R100" t="s">
        <v>36</v>
      </c>
      <c r="S100" t="s">
        <v>46</v>
      </c>
      <c r="T100" t="s">
        <v>38</v>
      </c>
      <c r="U100">
        <v>2</v>
      </c>
      <c r="W100">
        <v>1</v>
      </c>
      <c r="X100">
        <v>0</v>
      </c>
      <c r="Y100">
        <v>0</v>
      </c>
      <c r="Z100" t="s">
        <v>39</v>
      </c>
      <c r="AA100" t="s">
        <v>40</v>
      </c>
      <c r="AB100" t="s">
        <v>41</v>
      </c>
    </row>
    <row r="101" spans="1:28" x14ac:dyDescent="0.35">
      <c r="A101" s="3">
        <v>46226</v>
      </c>
      <c r="B101">
        <v>209216</v>
      </c>
      <c r="C101" t="s">
        <v>61</v>
      </c>
      <c r="D101" t="s">
        <v>31</v>
      </c>
      <c r="E101" t="s">
        <v>62</v>
      </c>
      <c r="F101" t="s">
        <v>44</v>
      </c>
      <c r="G101">
        <v>3</v>
      </c>
      <c r="H101" t="s">
        <v>96</v>
      </c>
      <c r="I101" s="3">
        <v>46227</v>
      </c>
      <c r="J101" s="3">
        <v>46202.770983796298</v>
      </c>
      <c r="K101" s="9">
        <f t="shared" si="1"/>
        <v>30</v>
      </c>
      <c r="L101">
        <v>3066</v>
      </c>
      <c r="M101" t="s">
        <v>35</v>
      </c>
      <c r="N101">
        <v>0</v>
      </c>
      <c r="O101">
        <v>3</v>
      </c>
      <c r="P101">
        <v>0</v>
      </c>
      <c r="Q101">
        <v>0</v>
      </c>
      <c r="R101" t="s">
        <v>36</v>
      </c>
      <c r="S101" t="s">
        <v>46</v>
      </c>
      <c r="T101" t="s">
        <v>38</v>
      </c>
      <c r="U101">
        <v>3</v>
      </c>
      <c r="W101">
        <v>1</v>
      </c>
      <c r="X101">
        <v>0</v>
      </c>
      <c r="Y101">
        <v>0</v>
      </c>
      <c r="Z101" t="s">
        <v>39</v>
      </c>
      <c r="AA101" t="s">
        <v>40</v>
      </c>
      <c r="AB101" t="s">
        <v>41</v>
      </c>
    </row>
    <row r="102" spans="1:28" x14ac:dyDescent="0.35">
      <c r="A102" s="3">
        <v>46226</v>
      </c>
      <c r="B102">
        <v>209216</v>
      </c>
      <c r="C102" t="s">
        <v>97</v>
      </c>
      <c r="D102" t="s">
        <v>31</v>
      </c>
      <c r="E102" t="s">
        <v>98</v>
      </c>
      <c r="F102" t="s">
        <v>44</v>
      </c>
      <c r="G102">
        <v>2</v>
      </c>
      <c r="H102" t="s">
        <v>96</v>
      </c>
      <c r="I102" s="3">
        <v>46227</v>
      </c>
      <c r="J102" s="3">
        <v>46202.770983796298</v>
      </c>
      <c r="K102" s="9">
        <f t="shared" si="1"/>
        <v>30</v>
      </c>
      <c r="L102">
        <v>4285.6000000000004</v>
      </c>
      <c r="M102" t="s">
        <v>35</v>
      </c>
      <c r="N102">
        <v>0</v>
      </c>
      <c r="O102">
        <v>2</v>
      </c>
      <c r="P102">
        <v>0</v>
      </c>
      <c r="Q102">
        <v>0</v>
      </c>
      <c r="R102" t="s">
        <v>36</v>
      </c>
      <c r="S102" t="s">
        <v>46</v>
      </c>
      <c r="T102" t="s">
        <v>38</v>
      </c>
      <c r="U102">
        <v>4</v>
      </c>
      <c r="W102">
        <v>1</v>
      </c>
      <c r="X102">
        <v>0</v>
      </c>
      <c r="Y102">
        <v>0</v>
      </c>
      <c r="Z102" t="s">
        <v>39</v>
      </c>
      <c r="AA102" t="s">
        <v>40</v>
      </c>
      <c r="AB102" t="s">
        <v>41</v>
      </c>
    </row>
    <row r="103" spans="1:28" x14ac:dyDescent="0.35">
      <c r="A103" s="3">
        <v>46226</v>
      </c>
      <c r="B103">
        <v>208766</v>
      </c>
      <c r="C103" t="s">
        <v>83</v>
      </c>
      <c r="D103" t="s">
        <v>31</v>
      </c>
      <c r="E103" t="s">
        <v>84</v>
      </c>
      <c r="F103" t="s">
        <v>44</v>
      </c>
      <c r="G103">
        <v>2</v>
      </c>
      <c r="H103" t="s">
        <v>93</v>
      </c>
      <c r="I103" s="3">
        <v>46227</v>
      </c>
      <c r="J103" s="3">
        <v>46196.470219907409</v>
      </c>
      <c r="K103" s="9">
        <f t="shared" si="1"/>
        <v>30</v>
      </c>
      <c r="L103">
        <v>3137.2</v>
      </c>
      <c r="M103" t="s">
        <v>35</v>
      </c>
      <c r="N103">
        <v>0</v>
      </c>
      <c r="O103">
        <v>2</v>
      </c>
      <c r="P103">
        <v>0</v>
      </c>
      <c r="Q103">
        <v>0</v>
      </c>
      <c r="R103" t="s">
        <v>36</v>
      </c>
      <c r="S103" t="s">
        <v>46</v>
      </c>
      <c r="T103" t="s">
        <v>38</v>
      </c>
      <c r="U103">
        <v>1</v>
      </c>
      <c r="W103">
        <v>1</v>
      </c>
      <c r="X103">
        <v>0</v>
      </c>
      <c r="Y103">
        <v>0</v>
      </c>
      <c r="Z103" t="s">
        <v>39</v>
      </c>
      <c r="AA103" t="s">
        <v>40</v>
      </c>
      <c r="AB103" t="s">
        <v>41</v>
      </c>
    </row>
    <row r="104" spans="1:28" x14ac:dyDescent="0.35">
      <c r="A104" s="3">
        <v>46226</v>
      </c>
      <c r="B104">
        <v>208766</v>
      </c>
      <c r="C104" t="s">
        <v>55</v>
      </c>
      <c r="D104" t="s">
        <v>31</v>
      </c>
      <c r="E104" t="s">
        <v>56</v>
      </c>
      <c r="F104" t="s">
        <v>44</v>
      </c>
      <c r="G104">
        <v>5</v>
      </c>
      <c r="H104" t="s">
        <v>93</v>
      </c>
      <c r="I104" s="3">
        <v>46227</v>
      </c>
      <c r="J104" s="3">
        <v>46196.470219907409</v>
      </c>
      <c r="K104" s="9">
        <f t="shared" si="1"/>
        <v>30</v>
      </c>
      <c r="L104">
        <v>4675</v>
      </c>
      <c r="M104" t="s">
        <v>35</v>
      </c>
      <c r="N104">
        <v>0</v>
      </c>
      <c r="O104">
        <v>5</v>
      </c>
      <c r="P104">
        <v>0</v>
      </c>
      <c r="Q104">
        <v>0</v>
      </c>
      <c r="R104" t="s">
        <v>36</v>
      </c>
      <c r="S104" t="s">
        <v>46</v>
      </c>
      <c r="T104" t="s">
        <v>38</v>
      </c>
      <c r="U104">
        <v>2</v>
      </c>
      <c r="W104">
        <v>1</v>
      </c>
      <c r="X104">
        <v>0</v>
      </c>
      <c r="Y104">
        <v>0</v>
      </c>
      <c r="Z104" t="s">
        <v>39</v>
      </c>
      <c r="AA104" t="s">
        <v>40</v>
      </c>
      <c r="AB104" t="s">
        <v>41</v>
      </c>
    </row>
    <row r="105" spans="1:28" x14ac:dyDescent="0.35">
      <c r="A105" s="3">
        <v>46226</v>
      </c>
      <c r="B105">
        <v>208380</v>
      </c>
      <c r="C105" t="s">
        <v>59</v>
      </c>
      <c r="D105" t="s">
        <v>31</v>
      </c>
      <c r="E105" t="s">
        <v>60</v>
      </c>
      <c r="F105" t="s">
        <v>44</v>
      </c>
      <c r="G105">
        <v>4</v>
      </c>
      <c r="H105" t="s">
        <v>93</v>
      </c>
      <c r="I105" s="3">
        <v>46227</v>
      </c>
      <c r="J105" s="3">
        <v>46191.482129629629</v>
      </c>
      <c r="K105" s="9">
        <f t="shared" si="1"/>
        <v>30</v>
      </c>
      <c r="L105">
        <v>2472.8000000000002</v>
      </c>
      <c r="M105" t="s">
        <v>35</v>
      </c>
      <c r="N105">
        <v>0</v>
      </c>
      <c r="O105">
        <v>4</v>
      </c>
      <c r="P105">
        <v>0</v>
      </c>
      <c r="Q105">
        <v>0</v>
      </c>
      <c r="R105" t="s">
        <v>36</v>
      </c>
      <c r="S105" t="s">
        <v>46</v>
      </c>
      <c r="T105" t="s">
        <v>38</v>
      </c>
      <c r="U105">
        <v>1</v>
      </c>
      <c r="W105">
        <v>1</v>
      </c>
      <c r="X105">
        <v>0</v>
      </c>
      <c r="Y105">
        <v>0</v>
      </c>
      <c r="Z105" t="s">
        <v>39</v>
      </c>
      <c r="AA105" t="s">
        <v>40</v>
      </c>
      <c r="AB105" t="s">
        <v>41</v>
      </c>
    </row>
    <row r="106" spans="1:28" x14ac:dyDescent="0.35">
      <c r="A106" s="3">
        <v>46226</v>
      </c>
      <c r="B106">
        <v>208358</v>
      </c>
      <c r="C106" t="s">
        <v>71</v>
      </c>
      <c r="D106" t="s">
        <v>31</v>
      </c>
      <c r="E106" t="s">
        <v>72</v>
      </c>
      <c r="F106" t="s">
        <v>44</v>
      </c>
      <c r="G106">
        <v>443</v>
      </c>
      <c r="H106" t="s">
        <v>45</v>
      </c>
      <c r="I106" s="3">
        <v>46227</v>
      </c>
      <c r="J106" s="3">
        <v>46191.460902777777</v>
      </c>
      <c r="K106" s="9">
        <f t="shared" si="1"/>
        <v>30</v>
      </c>
      <c r="L106">
        <v>250024.77</v>
      </c>
      <c r="M106" t="s">
        <v>35</v>
      </c>
      <c r="N106">
        <v>0</v>
      </c>
      <c r="O106">
        <v>443</v>
      </c>
      <c r="P106">
        <v>0</v>
      </c>
      <c r="Q106">
        <v>0</v>
      </c>
      <c r="R106" t="s">
        <v>36</v>
      </c>
      <c r="S106" t="s">
        <v>46</v>
      </c>
      <c r="T106" t="s">
        <v>38</v>
      </c>
      <c r="U106">
        <v>1</v>
      </c>
      <c r="W106">
        <v>1</v>
      </c>
      <c r="X106">
        <v>0</v>
      </c>
      <c r="Y106">
        <v>0</v>
      </c>
      <c r="Z106" t="s">
        <v>39</v>
      </c>
      <c r="AA106" t="s">
        <v>40</v>
      </c>
      <c r="AB106" t="s">
        <v>41</v>
      </c>
    </row>
    <row r="107" spans="1:28" x14ac:dyDescent="0.35">
      <c r="A107" s="3">
        <v>46233</v>
      </c>
      <c r="B107">
        <v>210306</v>
      </c>
      <c r="C107" t="s">
        <v>75</v>
      </c>
      <c r="D107" t="s">
        <v>31</v>
      </c>
      <c r="E107" t="s">
        <v>76</v>
      </c>
      <c r="F107" t="s">
        <v>33</v>
      </c>
      <c r="G107">
        <v>3</v>
      </c>
      <c r="H107" t="s">
        <v>34</v>
      </c>
      <c r="I107" s="3">
        <v>46234</v>
      </c>
      <c r="J107" s="3">
        <v>46217.660451388889</v>
      </c>
      <c r="K107" s="9">
        <f t="shared" si="1"/>
        <v>31</v>
      </c>
      <c r="L107">
        <v>144</v>
      </c>
      <c r="M107" t="s">
        <v>35</v>
      </c>
      <c r="N107">
        <v>0</v>
      </c>
      <c r="O107">
        <v>3</v>
      </c>
      <c r="P107">
        <v>0</v>
      </c>
      <c r="Q107">
        <v>0</v>
      </c>
      <c r="R107" t="s">
        <v>36</v>
      </c>
      <c r="S107" t="s">
        <v>46</v>
      </c>
      <c r="T107" t="s">
        <v>38</v>
      </c>
      <c r="U107">
        <v>1</v>
      </c>
      <c r="W107">
        <v>1</v>
      </c>
      <c r="X107">
        <v>0</v>
      </c>
      <c r="Y107">
        <v>0</v>
      </c>
      <c r="Z107" t="s">
        <v>39</v>
      </c>
      <c r="AA107" t="s">
        <v>40</v>
      </c>
      <c r="AB107" t="s">
        <v>41</v>
      </c>
    </row>
    <row r="108" spans="1:28" x14ac:dyDescent="0.35">
      <c r="A108" s="3">
        <v>46233</v>
      </c>
      <c r="B108">
        <v>210305</v>
      </c>
      <c r="C108" t="s">
        <v>83</v>
      </c>
      <c r="D108" t="s">
        <v>31</v>
      </c>
      <c r="E108" t="s">
        <v>84</v>
      </c>
      <c r="F108" t="s">
        <v>44</v>
      </c>
      <c r="G108">
        <v>56</v>
      </c>
      <c r="H108" t="s">
        <v>45</v>
      </c>
      <c r="I108" s="3">
        <v>46234</v>
      </c>
      <c r="J108" s="3">
        <v>46217.659398148149</v>
      </c>
      <c r="K108" s="9">
        <f t="shared" si="1"/>
        <v>31</v>
      </c>
      <c r="L108">
        <v>87841.600000000006</v>
      </c>
      <c r="M108" t="s">
        <v>35</v>
      </c>
      <c r="N108">
        <v>0</v>
      </c>
      <c r="O108">
        <v>56</v>
      </c>
      <c r="P108">
        <v>0</v>
      </c>
      <c r="Q108">
        <v>0</v>
      </c>
      <c r="R108" t="s">
        <v>36</v>
      </c>
      <c r="S108" t="s">
        <v>46</v>
      </c>
      <c r="T108" t="s">
        <v>38</v>
      </c>
      <c r="U108">
        <v>1</v>
      </c>
      <c r="W108">
        <v>1</v>
      </c>
      <c r="X108">
        <v>0</v>
      </c>
      <c r="Y108">
        <v>0</v>
      </c>
      <c r="Z108" t="s">
        <v>39</v>
      </c>
      <c r="AA108" t="s">
        <v>40</v>
      </c>
      <c r="AB108" t="s">
        <v>41</v>
      </c>
    </row>
    <row r="109" spans="1:28" x14ac:dyDescent="0.35">
      <c r="A109" s="3">
        <v>46233</v>
      </c>
      <c r="B109">
        <v>210295</v>
      </c>
      <c r="C109" t="s">
        <v>59</v>
      </c>
      <c r="D109" t="s">
        <v>31</v>
      </c>
      <c r="E109" t="s">
        <v>60</v>
      </c>
      <c r="F109" t="s">
        <v>44</v>
      </c>
      <c r="G109">
        <v>3</v>
      </c>
      <c r="H109" t="s">
        <v>96</v>
      </c>
      <c r="I109" s="3">
        <v>46234</v>
      </c>
      <c r="J109" s="3">
        <v>46217.650891203702</v>
      </c>
      <c r="K109" s="9">
        <f t="shared" si="1"/>
        <v>31</v>
      </c>
      <c r="L109">
        <v>1854.6</v>
      </c>
      <c r="M109" t="s">
        <v>35</v>
      </c>
      <c r="N109">
        <v>0</v>
      </c>
      <c r="O109">
        <v>3</v>
      </c>
      <c r="P109">
        <v>0</v>
      </c>
      <c r="Q109">
        <v>0</v>
      </c>
      <c r="R109" t="s">
        <v>36</v>
      </c>
      <c r="S109" t="s">
        <v>46</v>
      </c>
      <c r="T109" t="s">
        <v>38</v>
      </c>
      <c r="U109">
        <v>1</v>
      </c>
      <c r="W109">
        <v>1</v>
      </c>
      <c r="X109">
        <v>0</v>
      </c>
      <c r="Y109">
        <v>0</v>
      </c>
      <c r="Z109" t="s">
        <v>39</v>
      </c>
      <c r="AA109" t="s">
        <v>40</v>
      </c>
      <c r="AB109" t="s">
        <v>41</v>
      </c>
    </row>
    <row r="110" spans="1:28" x14ac:dyDescent="0.35">
      <c r="A110" s="3">
        <v>46233</v>
      </c>
      <c r="B110">
        <v>210295</v>
      </c>
      <c r="C110" t="s">
        <v>85</v>
      </c>
      <c r="D110" t="s">
        <v>31</v>
      </c>
      <c r="E110" t="s">
        <v>86</v>
      </c>
      <c r="F110" t="s">
        <v>33</v>
      </c>
      <c r="G110">
        <v>2</v>
      </c>
      <c r="H110" t="s">
        <v>96</v>
      </c>
      <c r="I110" s="3">
        <v>46234</v>
      </c>
      <c r="J110" s="3">
        <v>46217.650891203702</v>
      </c>
      <c r="K110" s="9">
        <f t="shared" si="1"/>
        <v>31</v>
      </c>
      <c r="L110">
        <v>446</v>
      </c>
      <c r="M110" t="s">
        <v>35</v>
      </c>
      <c r="N110">
        <v>0</v>
      </c>
      <c r="O110">
        <v>2</v>
      </c>
      <c r="P110">
        <v>0</v>
      </c>
      <c r="Q110">
        <v>0</v>
      </c>
      <c r="R110" t="s">
        <v>36</v>
      </c>
      <c r="S110" t="s">
        <v>46</v>
      </c>
      <c r="T110" t="s">
        <v>38</v>
      </c>
      <c r="U110">
        <v>2</v>
      </c>
      <c r="W110">
        <v>1</v>
      </c>
      <c r="X110">
        <v>0</v>
      </c>
      <c r="Y110">
        <v>0</v>
      </c>
      <c r="Z110" t="s">
        <v>39</v>
      </c>
      <c r="AA110" t="s">
        <v>40</v>
      </c>
      <c r="AB110" t="s">
        <v>41</v>
      </c>
    </row>
    <row r="111" spans="1:28" x14ac:dyDescent="0.35">
      <c r="A111" s="3">
        <v>46233</v>
      </c>
      <c r="B111">
        <v>210295</v>
      </c>
      <c r="C111" t="s">
        <v>55</v>
      </c>
      <c r="D111" t="s">
        <v>31</v>
      </c>
      <c r="E111" t="s">
        <v>56</v>
      </c>
      <c r="F111" t="s">
        <v>44</v>
      </c>
      <c r="G111">
        <v>2</v>
      </c>
      <c r="H111" t="s">
        <v>96</v>
      </c>
      <c r="I111" s="3">
        <v>46234</v>
      </c>
      <c r="J111" s="3">
        <v>46217.650891203702</v>
      </c>
      <c r="K111" s="9">
        <f t="shared" si="1"/>
        <v>31</v>
      </c>
      <c r="L111">
        <v>1870</v>
      </c>
      <c r="M111" t="s">
        <v>35</v>
      </c>
      <c r="N111">
        <v>0</v>
      </c>
      <c r="O111">
        <v>2</v>
      </c>
      <c r="P111">
        <v>0</v>
      </c>
      <c r="Q111">
        <v>0</v>
      </c>
      <c r="R111" t="s">
        <v>36</v>
      </c>
      <c r="S111" t="s">
        <v>46</v>
      </c>
      <c r="T111" t="s">
        <v>38</v>
      </c>
      <c r="U111">
        <v>3</v>
      </c>
      <c r="W111">
        <v>1</v>
      </c>
      <c r="X111">
        <v>0</v>
      </c>
      <c r="Y111">
        <v>0</v>
      </c>
      <c r="Z111" t="s">
        <v>39</v>
      </c>
      <c r="AA111" t="s">
        <v>40</v>
      </c>
      <c r="AB111" t="s">
        <v>41</v>
      </c>
    </row>
    <row r="112" spans="1:28" x14ac:dyDescent="0.35">
      <c r="A112" s="3">
        <v>46233</v>
      </c>
      <c r="B112">
        <v>210292</v>
      </c>
      <c r="C112" t="s">
        <v>83</v>
      </c>
      <c r="D112" t="s">
        <v>31</v>
      </c>
      <c r="E112" t="s">
        <v>84</v>
      </c>
      <c r="F112" t="s">
        <v>44</v>
      </c>
      <c r="G112">
        <v>3</v>
      </c>
      <c r="H112" t="s">
        <v>93</v>
      </c>
      <c r="I112" s="3">
        <v>46234</v>
      </c>
      <c r="J112" s="3">
        <v>46217.64770833333</v>
      </c>
      <c r="K112" s="9">
        <f t="shared" si="1"/>
        <v>31</v>
      </c>
      <c r="L112">
        <v>4705.8</v>
      </c>
      <c r="M112" t="s">
        <v>35</v>
      </c>
      <c r="N112">
        <v>0</v>
      </c>
      <c r="O112">
        <v>3</v>
      </c>
      <c r="P112">
        <v>0</v>
      </c>
      <c r="Q112">
        <v>0</v>
      </c>
      <c r="R112" t="s">
        <v>36</v>
      </c>
      <c r="S112" t="s">
        <v>46</v>
      </c>
      <c r="T112" t="s">
        <v>38</v>
      </c>
      <c r="U112">
        <v>1</v>
      </c>
      <c r="W112">
        <v>1</v>
      </c>
      <c r="X112">
        <v>0</v>
      </c>
      <c r="Y112">
        <v>0</v>
      </c>
      <c r="Z112" t="s">
        <v>39</v>
      </c>
      <c r="AA112" t="s">
        <v>40</v>
      </c>
      <c r="AB112" t="s">
        <v>41</v>
      </c>
    </row>
    <row r="113" spans="1:28" x14ac:dyDescent="0.35">
      <c r="A113" s="3">
        <v>46233</v>
      </c>
      <c r="B113">
        <v>210292</v>
      </c>
      <c r="C113" t="s">
        <v>59</v>
      </c>
      <c r="D113" t="s">
        <v>31</v>
      </c>
      <c r="E113" t="s">
        <v>60</v>
      </c>
      <c r="F113" t="s">
        <v>44</v>
      </c>
      <c r="G113">
        <v>7</v>
      </c>
      <c r="H113" t="s">
        <v>93</v>
      </c>
      <c r="I113" s="3">
        <v>46234</v>
      </c>
      <c r="J113" s="3">
        <v>46217.64770833333</v>
      </c>
      <c r="K113" s="9">
        <f t="shared" si="1"/>
        <v>31</v>
      </c>
      <c r="L113">
        <v>4327.3999999999996</v>
      </c>
      <c r="M113" t="s">
        <v>35</v>
      </c>
      <c r="N113">
        <v>0</v>
      </c>
      <c r="O113">
        <v>7</v>
      </c>
      <c r="P113">
        <v>0</v>
      </c>
      <c r="Q113">
        <v>0</v>
      </c>
      <c r="R113" t="s">
        <v>36</v>
      </c>
      <c r="S113" t="s">
        <v>46</v>
      </c>
      <c r="T113" t="s">
        <v>38</v>
      </c>
      <c r="U113">
        <v>2</v>
      </c>
      <c r="W113">
        <v>1</v>
      </c>
      <c r="X113">
        <v>0</v>
      </c>
      <c r="Y113">
        <v>0</v>
      </c>
      <c r="Z113" t="s">
        <v>39</v>
      </c>
      <c r="AA113" t="s">
        <v>40</v>
      </c>
      <c r="AB113" t="s">
        <v>41</v>
      </c>
    </row>
    <row r="114" spans="1:28" x14ac:dyDescent="0.35">
      <c r="A114" s="3">
        <v>46233</v>
      </c>
      <c r="B114">
        <v>210282</v>
      </c>
      <c r="C114" t="s">
        <v>81</v>
      </c>
      <c r="D114" t="s">
        <v>31</v>
      </c>
      <c r="E114" t="s">
        <v>82</v>
      </c>
      <c r="F114" t="s">
        <v>44</v>
      </c>
      <c r="G114">
        <v>7</v>
      </c>
      <c r="H114" t="s">
        <v>34</v>
      </c>
      <c r="I114" s="3">
        <v>46234</v>
      </c>
      <c r="J114" s="3">
        <v>46217.637094907404</v>
      </c>
      <c r="K114" s="9">
        <f t="shared" si="1"/>
        <v>31</v>
      </c>
      <c r="L114">
        <v>11775.82</v>
      </c>
      <c r="M114" t="s">
        <v>35</v>
      </c>
      <c r="N114">
        <v>0</v>
      </c>
      <c r="O114">
        <v>7</v>
      </c>
      <c r="P114">
        <v>0</v>
      </c>
      <c r="Q114">
        <v>0</v>
      </c>
      <c r="R114" t="s">
        <v>36</v>
      </c>
      <c r="S114" t="s">
        <v>46</v>
      </c>
      <c r="T114" t="s">
        <v>38</v>
      </c>
      <c r="U114">
        <v>1</v>
      </c>
      <c r="W114">
        <v>1</v>
      </c>
      <c r="X114">
        <v>0</v>
      </c>
      <c r="Y114">
        <v>0</v>
      </c>
      <c r="Z114" t="s">
        <v>39</v>
      </c>
      <c r="AA114" t="s">
        <v>40</v>
      </c>
      <c r="AB114" t="s">
        <v>41</v>
      </c>
    </row>
    <row r="115" spans="1:28" x14ac:dyDescent="0.35">
      <c r="A115" s="3">
        <v>46233</v>
      </c>
      <c r="B115">
        <v>210282</v>
      </c>
      <c r="C115" t="s">
        <v>85</v>
      </c>
      <c r="D115" t="s">
        <v>31</v>
      </c>
      <c r="E115" t="s">
        <v>86</v>
      </c>
      <c r="F115" t="s">
        <v>33</v>
      </c>
      <c r="G115">
        <v>7</v>
      </c>
      <c r="H115" t="s">
        <v>34</v>
      </c>
      <c r="I115" s="3">
        <v>46234</v>
      </c>
      <c r="J115" s="3">
        <v>46217.637094907404</v>
      </c>
      <c r="K115" s="9">
        <f t="shared" si="1"/>
        <v>31</v>
      </c>
      <c r="L115">
        <v>1561</v>
      </c>
      <c r="M115" t="s">
        <v>35</v>
      </c>
      <c r="N115">
        <v>0</v>
      </c>
      <c r="O115">
        <v>7</v>
      </c>
      <c r="P115">
        <v>0</v>
      </c>
      <c r="Q115">
        <v>0</v>
      </c>
      <c r="R115" t="s">
        <v>36</v>
      </c>
      <c r="S115" t="s">
        <v>46</v>
      </c>
      <c r="T115" t="s">
        <v>38</v>
      </c>
      <c r="U115">
        <v>2</v>
      </c>
      <c r="W115">
        <v>1</v>
      </c>
      <c r="X115">
        <v>0</v>
      </c>
      <c r="Y115">
        <v>0</v>
      </c>
      <c r="Z115" t="s">
        <v>39</v>
      </c>
      <c r="AA115" t="s">
        <v>40</v>
      </c>
      <c r="AB115" t="s">
        <v>41</v>
      </c>
    </row>
    <row r="116" spans="1:28" x14ac:dyDescent="0.35">
      <c r="A116" s="3">
        <v>46233</v>
      </c>
      <c r="B116">
        <v>210282</v>
      </c>
      <c r="C116" t="s">
        <v>57</v>
      </c>
      <c r="D116" t="s">
        <v>31</v>
      </c>
      <c r="E116" t="s">
        <v>58</v>
      </c>
      <c r="F116" t="s">
        <v>44</v>
      </c>
      <c r="G116">
        <v>7</v>
      </c>
      <c r="H116" t="s">
        <v>34</v>
      </c>
      <c r="I116" s="3">
        <v>46234</v>
      </c>
      <c r="J116" s="3">
        <v>46217.637094907404</v>
      </c>
      <c r="K116" s="9">
        <f t="shared" si="1"/>
        <v>31</v>
      </c>
      <c r="L116">
        <v>17710</v>
      </c>
      <c r="M116" t="s">
        <v>35</v>
      </c>
      <c r="N116">
        <v>0</v>
      </c>
      <c r="O116">
        <v>7</v>
      </c>
      <c r="P116">
        <v>0</v>
      </c>
      <c r="Q116">
        <v>0</v>
      </c>
      <c r="R116" t="s">
        <v>36</v>
      </c>
      <c r="S116" t="s">
        <v>46</v>
      </c>
      <c r="T116" t="s">
        <v>38</v>
      </c>
      <c r="U116">
        <v>3</v>
      </c>
      <c r="W116">
        <v>1</v>
      </c>
      <c r="X116">
        <v>0</v>
      </c>
      <c r="Y116">
        <v>0</v>
      </c>
      <c r="Z116" t="s">
        <v>39</v>
      </c>
      <c r="AA116" t="s">
        <v>40</v>
      </c>
      <c r="AB116" t="s">
        <v>41</v>
      </c>
    </row>
    <row r="117" spans="1:28" x14ac:dyDescent="0.35">
      <c r="A117" s="3">
        <v>46233</v>
      </c>
      <c r="B117">
        <v>209944</v>
      </c>
      <c r="C117" t="s">
        <v>61</v>
      </c>
      <c r="D117" t="s">
        <v>31</v>
      </c>
      <c r="E117" t="s">
        <v>62</v>
      </c>
      <c r="F117" t="s">
        <v>44</v>
      </c>
      <c r="G117">
        <v>12</v>
      </c>
      <c r="H117" t="s">
        <v>45</v>
      </c>
      <c r="I117" s="3">
        <v>46234</v>
      </c>
      <c r="J117" s="3">
        <v>46213.483611111114</v>
      </c>
      <c r="K117" s="9">
        <f t="shared" si="1"/>
        <v>31</v>
      </c>
      <c r="L117">
        <v>12264</v>
      </c>
      <c r="M117" t="s">
        <v>35</v>
      </c>
      <c r="N117">
        <v>0</v>
      </c>
      <c r="O117">
        <v>12</v>
      </c>
      <c r="P117">
        <v>0</v>
      </c>
      <c r="Q117">
        <v>0</v>
      </c>
      <c r="R117" t="s">
        <v>36</v>
      </c>
      <c r="S117" t="s">
        <v>46</v>
      </c>
      <c r="T117" t="s">
        <v>38</v>
      </c>
      <c r="U117">
        <v>1</v>
      </c>
      <c r="W117">
        <v>1</v>
      </c>
      <c r="X117">
        <v>0</v>
      </c>
      <c r="Y117">
        <v>0</v>
      </c>
      <c r="Z117" t="s">
        <v>39</v>
      </c>
      <c r="AA117" t="s">
        <v>40</v>
      </c>
      <c r="AB117" t="s">
        <v>41</v>
      </c>
    </row>
    <row r="118" spans="1:28" x14ac:dyDescent="0.35">
      <c r="A118" s="3">
        <v>46233</v>
      </c>
      <c r="B118">
        <v>209217</v>
      </c>
      <c r="C118" t="s">
        <v>51</v>
      </c>
      <c r="D118" t="s">
        <v>31</v>
      </c>
      <c r="E118" t="s">
        <v>52</v>
      </c>
      <c r="F118" t="s">
        <v>44</v>
      </c>
      <c r="G118">
        <v>2</v>
      </c>
      <c r="H118" t="s">
        <v>96</v>
      </c>
      <c r="I118" s="3">
        <v>46234</v>
      </c>
      <c r="J118" s="3">
        <v>46202.772037037037</v>
      </c>
      <c r="K118" s="9">
        <f t="shared" si="1"/>
        <v>31</v>
      </c>
      <c r="L118">
        <v>1267.2</v>
      </c>
      <c r="M118" t="s">
        <v>35</v>
      </c>
      <c r="N118">
        <v>0</v>
      </c>
      <c r="O118">
        <v>2</v>
      </c>
      <c r="P118">
        <v>0</v>
      </c>
      <c r="Q118">
        <v>0</v>
      </c>
      <c r="R118" t="s">
        <v>36</v>
      </c>
      <c r="S118" t="s">
        <v>46</v>
      </c>
      <c r="T118" t="s">
        <v>38</v>
      </c>
      <c r="U118">
        <v>1</v>
      </c>
      <c r="W118">
        <v>1</v>
      </c>
      <c r="X118">
        <v>0</v>
      </c>
      <c r="Y118">
        <v>0</v>
      </c>
      <c r="Z118" t="s">
        <v>39</v>
      </c>
      <c r="AA118" t="s">
        <v>40</v>
      </c>
      <c r="AB118" t="s">
        <v>41</v>
      </c>
    </row>
    <row r="119" spans="1:28" x14ac:dyDescent="0.35">
      <c r="A119" s="3">
        <v>46233</v>
      </c>
      <c r="B119">
        <v>209217</v>
      </c>
      <c r="C119" t="s">
        <v>81</v>
      </c>
      <c r="D119" t="s">
        <v>31</v>
      </c>
      <c r="E119" t="s">
        <v>82</v>
      </c>
      <c r="F119" t="s">
        <v>44</v>
      </c>
      <c r="G119">
        <v>2</v>
      </c>
      <c r="H119" t="s">
        <v>96</v>
      </c>
      <c r="I119" s="3">
        <v>46234</v>
      </c>
      <c r="J119" s="3">
        <v>46202.772037037037</v>
      </c>
      <c r="K119" s="9">
        <f t="shared" si="1"/>
        <v>31</v>
      </c>
      <c r="L119">
        <v>3364.52</v>
      </c>
      <c r="M119" t="s">
        <v>35</v>
      </c>
      <c r="N119">
        <v>0</v>
      </c>
      <c r="O119">
        <v>2</v>
      </c>
      <c r="P119">
        <v>0</v>
      </c>
      <c r="Q119">
        <v>0</v>
      </c>
      <c r="R119" t="s">
        <v>36</v>
      </c>
      <c r="S119" t="s">
        <v>46</v>
      </c>
      <c r="T119" t="s">
        <v>38</v>
      </c>
      <c r="U119">
        <v>2</v>
      </c>
      <c r="W119">
        <v>1</v>
      </c>
      <c r="X119">
        <v>0</v>
      </c>
      <c r="Y119">
        <v>0</v>
      </c>
      <c r="Z119" t="s">
        <v>39</v>
      </c>
      <c r="AA119" t="s">
        <v>40</v>
      </c>
      <c r="AB119" t="s">
        <v>41</v>
      </c>
    </row>
    <row r="120" spans="1:28" x14ac:dyDescent="0.35">
      <c r="A120" s="3">
        <v>46233</v>
      </c>
      <c r="B120">
        <v>209217</v>
      </c>
      <c r="C120" t="s">
        <v>61</v>
      </c>
      <c r="D120" t="s">
        <v>31</v>
      </c>
      <c r="E120" t="s">
        <v>62</v>
      </c>
      <c r="F120" t="s">
        <v>44</v>
      </c>
      <c r="G120">
        <v>3</v>
      </c>
      <c r="H120" t="s">
        <v>96</v>
      </c>
      <c r="I120" s="3">
        <v>46234</v>
      </c>
      <c r="J120" s="3">
        <v>46202.772037037037</v>
      </c>
      <c r="K120" s="9">
        <f t="shared" si="1"/>
        <v>31</v>
      </c>
      <c r="L120">
        <v>3066</v>
      </c>
      <c r="M120" t="s">
        <v>35</v>
      </c>
      <c r="N120">
        <v>0</v>
      </c>
      <c r="O120">
        <v>3</v>
      </c>
      <c r="P120">
        <v>0</v>
      </c>
      <c r="Q120">
        <v>0</v>
      </c>
      <c r="R120" t="s">
        <v>36</v>
      </c>
      <c r="S120" t="s">
        <v>46</v>
      </c>
      <c r="T120" t="s">
        <v>38</v>
      </c>
      <c r="U120">
        <v>3</v>
      </c>
      <c r="W120">
        <v>1</v>
      </c>
      <c r="X120">
        <v>0</v>
      </c>
      <c r="Y120">
        <v>0</v>
      </c>
      <c r="Z120" t="s">
        <v>39</v>
      </c>
      <c r="AA120" t="s">
        <v>40</v>
      </c>
      <c r="AB120" t="s">
        <v>41</v>
      </c>
    </row>
    <row r="121" spans="1:28" x14ac:dyDescent="0.35">
      <c r="A121" s="3">
        <v>46233</v>
      </c>
      <c r="B121">
        <v>209217</v>
      </c>
      <c r="C121" t="s">
        <v>94</v>
      </c>
      <c r="D121" t="s">
        <v>31</v>
      </c>
      <c r="E121" t="s">
        <v>95</v>
      </c>
      <c r="F121" t="s">
        <v>44</v>
      </c>
      <c r="G121">
        <v>1</v>
      </c>
      <c r="H121" t="s">
        <v>96</v>
      </c>
      <c r="I121" s="3">
        <v>46234</v>
      </c>
      <c r="J121" s="3">
        <v>46202.772037037037</v>
      </c>
      <c r="K121" s="9">
        <f t="shared" si="1"/>
        <v>31</v>
      </c>
      <c r="L121">
        <v>1920</v>
      </c>
      <c r="M121" t="s">
        <v>35</v>
      </c>
      <c r="N121">
        <v>0</v>
      </c>
      <c r="O121">
        <v>1</v>
      </c>
      <c r="P121">
        <v>0</v>
      </c>
      <c r="Q121">
        <v>0</v>
      </c>
      <c r="R121" t="s">
        <v>36</v>
      </c>
      <c r="S121" t="s">
        <v>46</v>
      </c>
      <c r="T121" t="s">
        <v>38</v>
      </c>
      <c r="U121">
        <v>4</v>
      </c>
      <c r="W121">
        <v>1</v>
      </c>
      <c r="X121">
        <v>0</v>
      </c>
      <c r="Y121">
        <v>0</v>
      </c>
      <c r="Z121" t="s">
        <v>39</v>
      </c>
      <c r="AA121" t="s">
        <v>40</v>
      </c>
      <c r="AB121" t="s">
        <v>41</v>
      </c>
    </row>
    <row r="122" spans="1:28" x14ac:dyDescent="0.35">
      <c r="A122" s="3">
        <v>46233</v>
      </c>
      <c r="B122">
        <v>209217</v>
      </c>
      <c r="C122" t="s">
        <v>67</v>
      </c>
      <c r="D122" t="s">
        <v>31</v>
      </c>
      <c r="E122" t="s">
        <v>68</v>
      </c>
      <c r="F122" t="s">
        <v>44</v>
      </c>
      <c r="G122">
        <v>1</v>
      </c>
      <c r="H122" t="s">
        <v>96</v>
      </c>
      <c r="I122" s="3">
        <v>46234</v>
      </c>
      <c r="J122" s="3">
        <v>46202.772037037037</v>
      </c>
      <c r="K122" s="9">
        <f t="shared" si="1"/>
        <v>31</v>
      </c>
      <c r="L122">
        <v>946</v>
      </c>
      <c r="M122" t="s">
        <v>35</v>
      </c>
      <c r="N122">
        <v>0</v>
      </c>
      <c r="O122">
        <v>1</v>
      </c>
      <c r="P122">
        <v>0</v>
      </c>
      <c r="Q122">
        <v>0</v>
      </c>
      <c r="R122" t="s">
        <v>36</v>
      </c>
      <c r="S122" t="s">
        <v>46</v>
      </c>
      <c r="T122" t="s">
        <v>38</v>
      </c>
      <c r="U122">
        <v>5</v>
      </c>
      <c r="W122">
        <v>1</v>
      </c>
      <c r="X122">
        <v>0</v>
      </c>
      <c r="Y122">
        <v>0</v>
      </c>
      <c r="Z122" t="s">
        <v>39</v>
      </c>
      <c r="AA122" t="s">
        <v>40</v>
      </c>
      <c r="AB122" t="s">
        <v>41</v>
      </c>
    </row>
    <row r="123" spans="1:28" x14ac:dyDescent="0.35">
      <c r="A123" s="3">
        <v>46233</v>
      </c>
      <c r="B123">
        <v>209179</v>
      </c>
      <c r="C123" t="s">
        <v>71</v>
      </c>
      <c r="D123" t="s">
        <v>31</v>
      </c>
      <c r="E123" t="s">
        <v>72</v>
      </c>
      <c r="F123" t="s">
        <v>44</v>
      </c>
      <c r="G123">
        <v>300</v>
      </c>
      <c r="H123" t="s">
        <v>34</v>
      </c>
      <c r="I123" s="3">
        <v>46234</v>
      </c>
      <c r="J123" s="3">
        <v>46202.731168981481</v>
      </c>
      <c r="K123" s="9">
        <f t="shared" si="1"/>
        <v>31</v>
      </c>
      <c r="L123">
        <v>169317</v>
      </c>
      <c r="M123" t="s">
        <v>35</v>
      </c>
      <c r="N123">
        <v>0</v>
      </c>
      <c r="O123">
        <v>300</v>
      </c>
      <c r="P123">
        <v>0</v>
      </c>
      <c r="Q123">
        <v>0</v>
      </c>
      <c r="R123" t="s">
        <v>36</v>
      </c>
      <c r="S123" t="s">
        <v>46</v>
      </c>
      <c r="T123" t="s">
        <v>38</v>
      </c>
      <c r="U123">
        <v>1</v>
      </c>
      <c r="W123">
        <v>1</v>
      </c>
      <c r="X123">
        <v>0</v>
      </c>
      <c r="Y123">
        <v>0</v>
      </c>
      <c r="Z123" t="s">
        <v>39</v>
      </c>
      <c r="AA123" t="s">
        <v>40</v>
      </c>
      <c r="AB123" t="s">
        <v>41</v>
      </c>
    </row>
    <row r="124" spans="1:28" x14ac:dyDescent="0.35">
      <c r="A124" s="3">
        <v>46233</v>
      </c>
      <c r="B124">
        <v>209172</v>
      </c>
      <c r="C124" t="s">
        <v>53</v>
      </c>
      <c r="D124" t="s">
        <v>31</v>
      </c>
      <c r="E124" t="s">
        <v>54</v>
      </c>
      <c r="F124" t="s">
        <v>44</v>
      </c>
      <c r="G124">
        <v>2</v>
      </c>
      <c r="H124" t="s">
        <v>93</v>
      </c>
      <c r="I124" s="3">
        <v>46234</v>
      </c>
      <c r="J124" s="3">
        <v>46202.726226851853</v>
      </c>
      <c r="K124" s="9">
        <f t="shared" si="1"/>
        <v>31</v>
      </c>
      <c r="L124">
        <v>2225.14</v>
      </c>
      <c r="M124" t="s">
        <v>35</v>
      </c>
      <c r="N124">
        <v>0</v>
      </c>
      <c r="O124">
        <v>2</v>
      </c>
      <c r="P124">
        <v>0</v>
      </c>
      <c r="Q124">
        <v>0</v>
      </c>
      <c r="R124" t="s">
        <v>36</v>
      </c>
      <c r="S124" t="s">
        <v>46</v>
      </c>
      <c r="T124" t="s">
        <v>38</v>
      </c>
      <c r="U124">
        <v>1</v>
      </c>
      <c r="W124">
        <v>1</v>
      </c>
      <c r="X124">
        <v>0</v>
      </c>
      <c r="Y124">
        <v>0</v>
      </c>
      <c r="Z124" t="s">
        <v>39</v>
      </c>
      <c r="AA124" t="s">
        <v>40</v>
      </c>
      <c r="AB124" t="s">
        <v>41</v>
      </c>
    </row>
    <row r="125" spans="1:28" x14ac:dyDescent="0.35">
      <c r="A125" s="3">
        <v>46233</v>
      </c>
      <c r="B125">
        <v>209172</v>
      </c>
      <c r="C125" t="s">
        <v>55</v>
      </c>
      <c r="D125" t="s">
        <v>31</v>
      </c>
      <c r="E125" t="s">
        <v>56</v>
      </c>
      <c r="F125" t="s">
        <v>44</v>
      </c>
      <c r="G125">
        <v>6</v>
      </c>
      <c r="H125" t="s">
        <v>93</v>
      </c>
      <c r="I125" s="3">
        <v>46234</v>
      </c>
      <c r="J125" s="3">
        <v>46202.726226851853</v>
      </c>
      <c r="K125" s="9">
        <f t="shared" si="1"/>
        <v>31</v>
      </c>
      <c r="L125">
        <v>5610</v>
      </c>
      <c r="M125" t="s">
        <v>35</v>
      </c>
      <c r="N125">
        <v>0</v>
      </c>
      <c r="O125">
        <v>6</v>
      </c>
      <c r="P125">
        <v>0</v>
      </c>
      <c r="Q125">
        <v>0</v>
      </c>
      <c r="R125" t="s">
        <v>36</v>
      </c>
      <c r="S125" t="s">
        <v>46</v>
      </c>
      <c r="T125" t="s">
        <v>38</v>
      </c>
      <c r="U125">
        <v>2</v>
      </c>
      <c r="W125">
        <v>1</v>
      </c>
      <c r="X125">
        <v>0</v>
      </c>
      <c r="Y125">
        <v>0</v>
      </c>
      <c r="Z125" t="s">
        <v>39</v>
      </c>
      <c r="AA125" t="s">
        <v>40</v>
      </c>
      <c r="AB125" t="s">
        <v>41</v>
      </c>
    </row>
    <row r="126" spans="1:28" x14ac:dyDescent="0.35">
      <c r="A126" s="3">
        <v>46233</v>
      </c>
      <c r="B126">
        <v>208765</v>
      </c>
      <c r="C126" t="s">
        <v>30</v>
      </c>
      <c r="D126" t="s">
        <v>31</v>
      </c>
      <c r="E126" t="s">
        <v>32</v>
      </c>
      <c r="F126" t="s">
        <v>33</v>
      </c>
      <c r="G126">
        <v>2</v>
      </c>
      <c r="H126" t="s">
        <v>93</v>
      </c>
      <c r="I126" s="3">
        <v>46234</v>
      </c>
      <c r="J126" s="3">
        <v>46196.468900462962</v>
      </c>
      <c r="K126" s="9">
        <f t="shared" si="1"/>
        <v>31</v>
      </c>
      <c r="L126">
        <v>0</v>
      </c>
      <c r="M126" t="s">
        <v>35</v>
      </c>
      <c r="N126">
        <v>0</v>
      </c>
      <c r="O126">
        <v>2</v>
      </c>
      <c r="P126">
        <v>0</v>
      </c>
      <c r="Q126">
        <v>0</v>
      </c>
      <c r="R126" t="s">
        <v>36</v>
      </c>
      <c r="S126" t="s">
        <v>46</v>
      </c>
      <c r="T126" t="s">
        <v>38</v>
      </c>
      <c r="U126">
        <v>1</v>
      </c>
      <c r="W126">
        <v>1</v>
      </c>
      <c r="X126">
        <v>0</v>
      </c>
      <c r="Y126">
        <v>0</v>
      </c>
      <c r="Z126" t="s">
        <v>39</v>
      </c>
      <c r="AA126" t="s">
        <v>40</v>
      </c>
      <c r="AB126" t="s">
        <v>41</v>
      </c>
    </row>
    <row r="127" spans="1:28" x14ac:dyDescent="0.35">
      <c r="A127" s="3">
        <v>46233</v>
      </c>
      <c r="B127">
        <v>208765</v>
      </c>
      <c r="C127" t="s">
        <v>67</v>
      </c>
      <c r="D127" t="s">
        <v>31</v>
      </c>
      <c r="E127" t="s">
        <v>68</v>
      </c>
      <c r="F127" t="s">
        <v>44</v>
      </c>
      <c r="G127">
        <v>2</v>
      </c>
      <c r="H127" t="s">
        <v>93</v>
      </c>
      <c r="I127" s="3">
        <v>46234</v>
      </c>
      <c r="J127" s="3">
        <v>46196.468900462962</v>
      </c>
      <c r="K127" s="9">
        <f t="shared" si="1"/>
        <v>31</v>
      </c>
      <c r="L127">
        <v>1892</v>
      </c>
      <c r="M127" t="s">
        <v>35</v>
      </c>
      <c r="N127">
        <v>0</v>
      </c>
      <c r="O127">
        <v>2</v>
      </c>
      <c r="P127">
        <v>0</v>
      </c>
      <c r="Q127">
        <v>0</v>
      </c>
      <c r="R127" t="s">
        <v>36</v>
      </c>
      <c r="S127" t="s">
        <v>46</v>
      </c>
      <c r="T127" t="s">
        <v>38</v>
      </c>
      <c r="U127">
        <v>2</v>
      </c>
      <c r="W127">
        <v>1</v>
      </c>
      <c r="X127">
        <v>0</v>
      </c>
      <c r="Y127">
        <v>0</v>
      </c>
      <c r="Z127" t="s">
        <v>39</v>
      </c>
      <c r="AA127" t="s">
        <v>40</v>
      </c>
      <c r="AB127" t="s">
        <v>41</v>
      </c>
    </row>
    <row r="128" spans="1:28" x14ac:dyDescent="0.35">
      <c r="A128" s="3">
        <v>46233</v>
      </c>
      <c r="B128">
        <v>208708</v>
      </c>
      <c r="C128" t="s">
        <v>71</v>
      </c>
      <c r="D128" t="s">
        <v>31</v>
      </c>
      <c r="E128" t="s">
        <v>72</v>
      </c>
      <c r="F128" t="s">
        <v>44</v>
      </c>
      <c r="G128">
        <v>464</v>
      </c>
      <c r="H128" t="s">
        <v>45</v>
      </c>
      <c r="I128" s="3">
        <v>46234</v>
      </c>
      <c r="J128" s="3">
        <v>46196.408877314818</v>
      </c>
      <c r="K128" s="9">
        <f t="shared" si="1"/>
        <v>31</v>
      </c>
      <c r="L128">
        <v>261876.96</v>
      </c>
      <c r="M128" t="s">
        <v>35</v>
      </c>
      <c r="N128">
        <v>0</v>
      </c>
      <c r="O128">
        <v>464</v>
      </c>
      <c r="P128">
        <v>0</v>
      </c>
      <c r="Q128">
        <v>0</v>
      </c>
      <c r="R128" t="s">
        <v>36</v>
      </c>
      <c r="S128" t="s">
        <v>46</v>
      </c>
      <c r="T128" t="s">
        <v>38</v>
      </c>
      <c r="U128">
        <v>1</v>
      </c>
      <c r="W128">
        <v>1</v>
      </c>
      <c r="X128">
        <v>0</v>
      </c>
      <c r="Y128">
        <v>0</v>
      </c>
      <c r="Z128" t="s">
        <v>39</v>
      </c>
      <c r="AA128" t="s">
        <v>40</v>
      </c>
      <c r="AB128" t="s">
        <v>41</v>
      </c>
    </row>
    <row r="129" spans="1:28" x14ac:dyDescent="0.35">
      <c r="A129" s="3">
        <v>46240</v>
      </c>
      <c r="B129">
        <v>210303</v>
      </c>
      <c r="C129" t="s">
        <v>51</v>
      </c>
      <c r="D129" t="s">
        <v>31</v>
      </c>
      <c r="E129" t="s">
        <v>52</v>
      </c>
      <c r="F129" t="s">
        <v>44</v>
      </c>
      <c r="G129">
        <v>3</v>
      </c>
      <c r="H129" t="s">
        <v>45</v>
      </c>
      <c r="I129" s="3">
        <v>46241</v>
      </c>
      <c r="J129" s="3">
        <v>46217.658333333333</v>
      </c>
      <c r="K129" s="9">
        <f t="shared" si="1"/>
        <v>32</v>
      </c>
      <c r="L129">
        <v>1900.8</v>
      </c>
      <c r="M129" t="s">
        <v>35</v>
      </c>
      <c r="N129">
        <v>0</v>
      </c>
      <c r="O129">
        <v>3</v>
      </c>
      <c r="P129">
        <v>0</v>
      </c>
      <c r="Q129">
        <v>0</v>
      </c>
      <c r="R129" t="s">
        <v>36</v>
      </c>
      <c r="S129" t="s">
        <v>46</v>
      </c>
      <c r="T129" t="s">
        <v>38</v>
      </c>
      <c r="U129">
        <v>1</v>
      </c>
      <c r="W129">
        <v>1</v>
      </c>
      <c r="X129">
        <v>0</v>
      </c>
      <c r="Y129">
        <v>0</v>
      </c>
      <c r="Z129" t="s">
        <v>39</v>
      </c>
      <c r="AA129" t="s">
        <v>40</v>
      </c>
      <c r="AB129" t="s">
        <v>41</v>
      </c>
    </row>
    <row r="130" spans="1:28" x14ac:dyDescent="0.35">
      <c r="A130" s="3">
        <v>46240</v>
      </c>
      <c r="B130">
        <v>210303</v>
      </c>
      <c r="C130" t="s">
        <v>55</v>
      </c>
      <c r="D130" t="s">
        <v>31</v>
      </c>
      <c r="E130" t="s">
        <v>56</v>
      </c>
      <c r="F130" t="s">
        <v>44</v>
      </c>
      <c r="G130">
        <v>33</v>
      </c>
      <c r="H130" t="s">
        <v>45</v>
      </c>
      <c r="I130" s="3">
        <v>46241</v>
      </c>
      <c r="J130" s="3">
        <v>46217.658333333333</v>
      </c>
      <c r="K130" s="9">
        <f t="shared" si="1"/>
        <v>32</v>
      </c>
      <c r="L130">
        <v>30855</v>
      </c>
      <c r="M130" t="s">
        <v>35</v>
      </c>
      <c r="N130">
        <v>0</v>
      </c>
      <c r="O130">
        <v>33</v>
      </c>
      <c r="P130">
        <v>0</v>
      </c>
      <c r="Q130">
        <v>0</v>
      </c>
      <c r="R130" t="s">
        <v>36</v>
      </c>
      <c r="S130" t="s">
        <v>46</v>
      </c>
      <c r="T130" t="s">
        <v>38</v>
      </c>
      <c r="U130">
        <v>2</v>
      </c>
      <c r="W130">
        <v>1</v>
      </c>
      <c r="X130">
        <v>0</v>
      </c>
      <c r="Y130">
        <v>0</v>
      </c>
      <c r="Z130" t="s">
        <v>39</v>
      </c>
      <c r="AA130" t="s">
        <v>40</v>
      </c>
      <c r="AB130" t="s">
        <v>41</v>
      </c>
    </row>
    <row r="131" spans="1:28" x14ac:dyDescent="0.35">
      <c r="A131" s="3">
        <v>46240</v>
      </c>
      <c r="B131">
        <v>210293</v>
      </c>
      <c r="C131" t="s">
        <v>59</v>
      </c>
      <c r="D131" t="s">
        <v>31</v>
      </c>
      <c r="E131" t="s">
        <v>60</v>
      </c>
      <c r="F131" t="s">
        <v>44</v>
      </c>
      <c r="G131">
        <v>5</v>
      </c>
      <c r="H131" t="s">
        <v>96</v>
      </c>
      <c r="I131" s="3">
        <v>46241</v>
      </c>
      <c r="J131" s="3">
        <v>46217.648773148147</v>
      </c>
      <c r="K131" s="9">
        <f t="shared" ref="K131:K188" si="2">WEEKNUM(A131)</f>
        <v>32</v>
      </c>
      <c r="L131">
        <v>3091</v>
      </c>
      <c r="M131" t="s">
        <v>35</v>
      </c>
      <c r="N131">
        <v>0</v>
      </c>
      <c r="O131">
        <v>5</v>
      </c>
      <c r="P131">
        <v>0</v>
      </c>
      <c r="Q131">
        <v>0</v>
      </c>
      <c r="R131" t="s">
        <v>36</v>
      </c>
      <c r="S131" t="s">
        <v>46</v>
      </c>
      <c r="T131" t="s">
        <v>38</v>
      </c>
      <c r="U131">
        <v>1</v>
      </c>
      <c r="W131">
        <v>1</v>
      </c>
      <c r="X131">
        <v>0</v>
      </c>
      <c r="Y131">
        <v>0</v>
      </c>
      <c r="Z131" t="s">
        <v>39</v>
      </c>
      <c r="AA131" t="s">
        <v>40</v>
      </c>
      <c r="AB131" t="s">
        <v>41</v>
      </c>
    </row>
    <row r="132" spans="1:28" x14ac:dyDescent="0.35">
      <c r="A132" s="3">
        <v>46240</v>
      </c>
      <c r="B132">
        <v>210293</v>
      </c>
      <c r="C132" t="s">
        <v>85</v>
      </c>
      <c r="D132" t="s">
        <v>31</v>
      </c>
      <c r="E132" t="s">
        <v>86</v>
      </c>
      <c r="F132" t="s">
        <v>33</v>
      </c>
      <c r="G132">
        <v>2</v>
      </c>
      <c r="H132" t="s">
        <v>96</v>
      </c>
      <c r="I132" s="3">
        <v>46241</v>
      </c>
      <c r="J132" s="3">
        <v>46217.648773148147</v>
      </c>
      <c r="K132" s="9">
        <f t="shared" si="2"/>
        <v>32</v>
      </c>
      <c r="L132">
        <v>446</v>
      </c>
      <c r="M132" t="s">
        <v>35</v>
      </c>
      <c r="N132">
        <v>0</v>
      </c>
      <c r="O132">
        <v>2</v>
      </c>
      <c r="P132">
        <v>0</v>
      </c>
      <c r="Q132">
        <v>0</v>
      </c>
      <c r="R132" t="s">
        <v>36</v>
      </c>
      <c r="S132" t="s">
        <v>46</v>
      </c>
      <c r="T132" t="s">
        <v>38</v>
      </c>
      <c r="U132">
        <v>2</v>
      </c>
      <c r="W132">
        <v>1</v>
      </c>
      <c r="X132">
        <v>0</v>
      </c>
      <c r="Y132">
        <v>0</v>
      </c>
      <c r="Z132" t="s">
        <v>39</v>
      </c>
      <c r="AA132" t="s">
        <v>40</v>
      </c>
      <c r="AB132" t="s">
        <v>41</v>
      </c>
    </row>
    <row r="133" spans="1:28" x14ac:dyDescent="0.35">
      <c r="A133" s="3">
        <v>46240</v>
      </c>
      <c r="B133">
        <v>210293</v>
      </c>
      <c r="C133" t="s">
        <v>87</v>
      </c>
      <c r="D133" t="s">
        <v>31</v>
      </c>
      <c r="E133" t="s">
        <v>88</v>
      </c>
      <c r="F133" t="s">
        <v>44</v>
      </c>
      <c r="G133">
        <v>3</v>
      </c>
      <c r="H133" t="s">
        <v>96</v>
      </c>
      <c r="I133" s="3">
        <v>46241</v>
      </c>
      <c r="J133" s="3">
        <v>46217.648773148147</v>
      </c>
      <c r="K133" s="9">
        <f t="shared" si="2"/>
        <v>32</v>
      </c>
      <c r="L133">
        <v>4382.3999999999996</v>
      </c>
      <c r="M133" t="s">
        <v>35</v>
      </c>
      <c r="N133">
        <v>0</v>
      </c>
      <c r="O133">
        <v>3</v>
      </c>
      <c r="P133">
        <v>0</v>
      </c>
      <c r="Q133">
        <v>0</v>
      </c>
      <c r="R133" t="s">
        <v>36</v>
      </c>
      <c r="S133" t="s">
        <v>46</v>
      </c>
      <c r="T133" t="s">
        <v>38</v>
      </c>
      <c r="U133">
        <v>3</v>
      </c>
      <c r="W133">
        <v>1</v>
      </c>
      <c r="X133">
        <v>0</v>
      </c>
      <c r="Y133">
        <v>0</v>
      </c>
      <c r="Z133" t="s">
        <v>39</v>
      </c>
      <c r="AA133" t="s">
        <v>40</v>
      </c>
      <c r="AB133" t="s">
        <v>41</v>
      </c>
    </row>
    <row r="134" spans="1:28" x14ac:dyDescent="0.35">
      <c r="A134" s="3">
        <v>46240</v>
      </c>
      <c r="B134">
        <v>210293</v>
      </c>
      <c r="C134" t="s">
        <v>103</v>
      </c>
      <c r="D134" t="s">
        <v>31</v>
      </c>
      <c r="E134" t="s">
        <v>104</v>
      </c>
      <c r="F134" t="s">
        <v>44</v>
      </c>
      <c r="G134">
        <v>2</v>
      </c>
      <c r="H134" t="s">
        <v>96</v>
      </c>
      <c r="I134" s="3">
        <v>46241</v>
      </c>
      <c r="J134" s="3">
        <v>46217.648773148147</v>
      </c>
      <c r="K134" s="9">
        <f t="shared" si="2"/>
        <v>32</v>
      </c>
      <c r="L134">
        <v>3366</v>
      </c>
      <c r="M134" t="s">
        <v>35</v>
      </c>
      <c r="N134">
        <v>0</v>
      </c>
      <c r="O134">
        <v>2</v>
      </c>
      <c r="P134">
        <v>0</v>
      </c>
      <c r="Q134">
        <v>0</v>
      </c>
      <c r="R134" t="s">
        <v>36</v>
      </c>
      <c r="S134" t="s">
        <v>46</v>
      </c>
      <c r="T134" t="s">
        <v>38</v>
      </c>
      <c r="U134">
        <v>4</v>
      </c>
      <c r="W134">
        <v>1</v>
      </c>
      <c r="X134">
        <v>0</v>
      </c>
      <c r="Y134">
        <v>0</v>
      </c>
      <c r="Z134" t="s">
        <v>39</v>
      </c>
      <c r="AA134" t="s">
        <v>40</v>
      </c>
      <c r="AB134" t="s">
        <v>41</v>
      </c>
    </row>
    <row r="135" spans="1:28" x14ac:dyDescent="0.35">
      <c r="A135" s="3">
        <v>46240</v>
      </c>
      <c r="B135">
        <v>210293</v>
      </c>
      <c r="C135" t="s">
        <v>57</v>
      </c>
      <c r="D135" t="s">
        <v>31</v>
      </c>
      <c r="E135" t="s">
        <v>58</v>
      </c>
      <c r="F135" t="s">
        <v>44</v>
      </c>
      <c r="G135">
        <v>3</v>
      </c>
      <c r="H135" t="s">
        <v>96</v>
      </c>
      <c r="I135" s="3">
        <v>46241</v>
      </c>
      <c r="J135" s="3">
        <v>46217.648773148147</v>
      </c>
      <c r="K135" s="9">
        <f t="shared" si="2"/>
        <v>32</v>
      </c>
      <c r="L135">
        <v>7590</v>
      </c>
      <c r="M135" t="s">
        <v>35</v>
      </c>
      <c r="N135">
        <v>0</v>
      </c>
      <c r="O135">
        <v>3</v>
      </c>
      <c r="P135">
        <v>0</v>
      </c>
      <c r="Q135">
        <v>0</v>
      </c>
      <c r="R135" t="s">
        <v>36</v>
      </c>
      <c r="S135" t="s">
        <v>46</v>
      </c>
      <c r="T135" t="s">
        <v>38</v>
      </c>
      <c r="U135">
        <v>5</v>
      </c>
      <c r="W135">
        <v>1</v>
      </c>
      <c r="X135">
        <v>0</v>
      </c>
      <c r="Y135">
        <v>0</v>
      </c>
      <c r="Z135" t="s">
        <v>39</v>
      </c>
      <c r="AA135" t="s">
        <v>40</v>
      </c>
      <c r="AB135" t="s">
        <v>41</v>
      </c>
    </row>
    <row r="136" spans="1:28" x14ac:dyDescent="0.35">
      <c r="A136" s="3">
        <v>46240</v>
      </c>
      <c r="B136">
        <v>210290</v>
      </c>
      <c r="C136" t="s">
        <v>83</v>
      </c>
      <c r="D136" t="s">
        <v>31</v>
      </c>
      <c r="E136" t="s">
        <v>84</v>
      </c>
      <c r="F136" t="s">
        <v>44</v>
      </c>
      <c r="G136">
        <v>5</v>
      </c>
      <c r="H136" t="s">
        <v>93</v>
      </c>
      <c r="I136" s="3">
        <v>46241</v>
      </c>
      <c r="J136" s="3">
        <v>46217.645590277774</v>
      </c>
      <c r="K136" s="9">
        <f t="shared" si="2"/>
        <v>32</v>
      </c>
      <c r="L136">
        <v>7840</v>
      </c>
      <c r="M136" t="s">
        <v>35</v>
      </c>
      <c r="N136">
        <v>0</v>
      </c>
      <c r="O136">
        <v>5</v>
      </c>
      <c r="P136">
        <v>0</v>
      </c>
      <c r="Q136">
        <v>0</v>
      </c>
      <c r="R136" t="s">
        <v>36</v>
      </c>
      <c r="S136" t="s">
        <v>46</v>
      </c>
      <c r="T136" t="s">
        <v>38</v>
      </c>
      <c r="U136">
        <v>1</v>
      </c>
      <c r="W136">
        <v>1</v>
      </c>
      <c r="X136">
        <v>0</v>
      </c>
      <c r="Y136">
        <v>0</v>
      </c>
      <c r="Z136" t="s">
        <v>39</v>
      </c>
      <c r="AA136" t="s">
        <v>40</v>
      </c>
      <c r="AB136" t="s">
        <v>41</v>
      </c>
    </row>
    <row r="137" spans="1:28" x14ac:dyDescent="0.35">
      <c r="A137" s="3">
        <v>46240</v>
      </c>
      <c r="B137">
        <v>210290</v>
      </c>
      <c r="C137" t="s">
        <v>59</v>
      </c>
      <c r="D137" t="s">
        <v>31</v>
      </c>
      <c r="E137" t="s">
        <v>60</v>
      </c>
      <c r="F137" t="s">
        <v>44</v>
      </c>
      <c r="G137">
        <v>6</v>
      </c>
      <c r="H137" t="s">
        <v>93</v>
      </c>
      <c r="I137" s="3">
        <v>46241</v>
      </c>
      <c r="J137" s="3">
        <v>46217.645590277774</v>
      </c>
      <c r="K137" s="9">
        <f t="shared" si="2"/>
        <v>32</v>
      </c>
      <c r="L137">
        <v>3709.2</v>
      </c>
      <c r="M137" t="s">
        <v>35</v>
      </c>
      <c r="N137">
        <v>0</v>
      </c>
      <c r="O137">
        <v>6</v>
      </c>
      <c r="P137">
        <v>0</v>
      </c>
      <c r="Q137">
        <v>0</v>
      </c>
      <c r="R137" t="s">
        <v>36</v>
      </c>
      <c r="S137" t="s">
        <v>46</v>
      </c>
      <c r="T137" t="s">
        <v>38</v>
      </c>
      <c r="U137">
        <v>2</v>
      </c>
      <c r="W137">
        <v>1</v>
      </c>
      <c r="X137">
        <v>0</v>
      </c>
      <c r="Y137">
        <v>0</v>
      </c>
      <c r="Z137" t="s">
        <v>39</v>
      </c>
      <c r="AA137" t="s">
        <v>40</v>
      </c>
      <c r="AB137" t="s">
        <v>41</v>
      </c>
    </row>
    <row r="138" spans="1:28" x14ac:dyDescent="0.35">
      <c r="A138" s="3">
        <v>46240</v>
      </c>
      <c r="B138">
        <v>210290</v>
      </c>
      <c r="C138" t="s">
        <v>55</v>
      </c>
      <c r="D138" t="s">
        <v>31</v>
      </c>
      <c r="E138" t="s">
        <v>56</v>
      </c>
      <c r="F138" t="s">
        <v>44</v>
      </c>
      <c r="G138">
        <v>6</v>
      </c>
      <c r="H138" t="s">
        <v>93</v>
      </c>
      <c r="I138" s="3">
        <v>46241</v>
      </c>
      <c r="J138" s="3">
        <v>46217.645590277774</v>
      </c>
      <c r="K138" s="9">
        <f t="shared" si="2"/>
        <v>32</v>
      </c>
      <c r="L138">
        <v>5610</v>
      </c>
      <c r="M138" t="s">
        <v>35</v>
      </c>
      <c r="N138">
        <v>0</v>
      </c>
      <c r="O138">
        <v>6</v>
      </c>
      <c r="P138">
        <v>0</v>
      </c>
      <c r="Q138">
        <v>0</v>
      </c>
      <c r="R138" t="s">
        <v>36</v>
      </c>
      <c r="S138" t="s">
        <v>46</v>
      </c>
      <c r="T138" t="s">
        <v>38</v>
      </c>
      <c r="U138">
        <v>3</v>
      </c>
      <c r="W138">
        <v>1</v>
      </c>
      <c r="X138">
        <v>0</v>
      </c>
      <c r="Y138">
        <v>0</v>
      </c>
      <c r="Z138" t="s">
        <v>39</v>
      </c>
      <c r="AA138" t="s">
        <v>40</v>
      </c>
      <c r="AB138" t="s">
        <v>41</v>
      </c>
    </row>
    <row r="139" spans="1:28" x14ac:dyDescent="0.35">
      <c r="A139" s="3">
        <v>46240</v>
      </c>
      <c r="B139">
        <v>210288</v>
      </c>
      <c r="C139" t="s">
        <v>71</v>
      </c>
      <c r="D139" t="s">
        <v>31</v>
      </c>
      <c r="E139" t="s">
        <v>72</v>
      </c>
      <c r="F139" t="s">
        <v>44</v>
      </c>
      <c r="G139">
        <v>300</v>
      </c>
      <c r="H139" t="s">
        <v>34</v>
      </c>
      <c r="I139" s="3">
        <v>46241</v>
      </c>
      <c r="J139" s="3">
        <v>46217.643460648149</v>
      </c>
      <c r="K139" s="9">
        <f t="shared" si="2"/>
        <v>32</v>
      </c>
      <c r="L139">
        <v>169317</v>
      </c>
      <c r="M139" t="s">
        <v>35</v>
      </c>
      <c r="N139">
        <v>0</v>
      </c>
      <c r="O139">
        <v>300</v>
      </c>
      <c r="P139">
        <v>0</v>
      </c>
      <c r="Q139">
        <v>0</v>
      </c>
      <c r="R139" t="s">
        <v>36</v>
      </c>
      <c r="S139" t="s">
        <v>46</v>
      </c>
      <c r="T139" t="s">
        <v>38</v>
      </c>
      <c r="U139">
        <v>1</v>
      </c>
      <c r="W139">
        <v>1</v>
      </c>
      <c r="X139">
        <v>0</v>
      </c>
      <c r="Y139">
        <v>0</v>
      </c>
      <c r="Z139" t="s">
        <v>39</v>
      </c>
      <c r="AA139" t="s">
        <v>40</v>
      </c>
      <c r="AB139" t="s">
        <v>41</v>
      </c>
    </row>
    <row r="140" spans="1:28" x14ac:dyDescent="0.35">
      <c r="A140" s="3">
        <v>46240</v>
      </c>
      <c r="B140">
        <v>210285</v>
      </c>
      <c r="C140" t="s">
        <v>91</v>
      </c>
      <c r="D140" t="s">
        <v>31</v>
      </c>
      <c r="E140" t="s">
        <v>92</v>
      </c>
      <c r="F140" t="s">
        <v>33</v>
      </c>
      <c r="G140">
        <v>3</v>
      </c>
      <c r="H140" t="s">
        <v>96</v>
      </c>
      <c r="I140" s="3">
        <v>46241</v>
      </c>
      <c r="J140" s="3">
        <v>46217.640277777777</v>
      </c>
      <c r="K140" s="9">
        <f t="shared" si="2"/>
        <v>32</v>
      </c>
      <c r="L140">
        <v>1590</v>
      </c>
      <c r="M140" t="s">
        <v>35</v>
      </c>
      <c r="N140">
        <v>0</v>
      </c>
      <c r="O140">
        <v>3</v>
      </c>
      <c r="P140">
        <v>0</v>
      </c>
      <c r="Q140">
        <v>0</v>
      </c>
      <c r="R140" t="s">
        <v>36</v>
      </c>
      <c r="S140" t="s">
        <v>46</v>
      </c>
      <c r="T140" t="s">
        <v>38</v>
      </c>
      <c r="U140">
        <v>1</v>
      </c>
      <c r="W140">
        <v>1</v>
      </c>
      <c r="X140">
        <v>0</v>
      </c>
      <c r="Y140">
        <v>0</v>
      </c>
      <c r="Z140" t="s">
        <v>39</v>
      </c>
      <c r="AA140" t="s">
        <v>40</v>
      </c>
      <c r="AB140" t="s">
        <v>41</v>
      </c>
    </row>
    <row r="141" spans="1:28" x14ac:dyDescent="0.35">
      <c r="A141" s="3">
        <v>46240</v>
      </c>
      <c r="B141">
        <v>210279</v>
      </c>
      <c r="C141" t="s">
        <v>77</v>
      </c>
      <c r="D141" t="s">
        <v>31</v>
      </c>
      <c r="E141" t="s">
        <v>78</v>
      </c>
      <c r="F141" t="s">
        <v>44</v>
      </c>
      <c r="G141">
        <v>7</v>
      </c>
      <c r="H141" t="s">
        <v>34</v>
      </c>
      <c r="I141" s="3">
        <v>46241</v>
      </c>
      <c r="J141" s="3">
        <v>46217.633912037039</v>
      </c>
      <c r="K141" s="9">
        <f t="shared" si="2"/>
        <v>32</v>
      </c>
      <c r="L141">
        <v>13090</v>
      </c>
      <c r="M141" t="s">
        <v>35</v>
      </c>
      <c r="N141">
        <v>0</v>
      </c>
      <c r="O141">
        <v>7</v>
      </c>
      <c r="P141">
        <v>0</v>
      </c>
      <c r="Q141">
        <v>0</v>
      </c>
      <c r="R141" t="s">
        <v>36</v>
      </c>
      <c r="S141" t="s">
        <v>46</v>
      </c>
      <c r="T141" t="s">
        <v>38</v>
      </c>
      <c r="U141">
        <v>1</v>
      </c>
      <c r="W141">
        <v>1</v>
      </c>
      <c r="X141">
        <v>0</v>
      </c>
      <c r="Y141">
        <v>0</v>
      </c>
      <c r="Z141" t="s">
        <v>39</v>
      </c>
      <c r="AA141" t="s">
        <v>40</v>
      </c>
      <c r="AB141" t="s">
        <v>41</v>
      </c>
    </row>
    <row r="142" spans="1:28" x14ac:dyDescent="0.35">
      <c r="A142" s="3">
        <v>46240</v>
      </c>
      <c r="B142">
        <v>210279</v>
      </c>
      <c r="C142" t="s">
        <v>51</v>
      </c>
      <c r="D142" t="s">
        <v>31</v>
      </c>
      <c r="E142" t="s">
        <v>52</v>
      </c>
      <c r="F142" t="s">
        <v>44</v>
      </c>
      <c r="G142">
        <v>23</v>
      </c>
      <c r="H142" t="s">
        <v>34</v>
      </c>
      <c r="I142" s="3">
        <v>46241</v>
      </c>
      <c r="J142" s="3">
        <v>46217.633912037039</v>
      </c>
      <c r="K142" s="9">
        <f t="shared" si="2"/>
        <v>32</v>
      </c>
      <c r="L142">
        <v>14572.8</v>
      </c>
      <c r="M142" t="s">
        <v>35</v>
      </c>
      <c r="N142">
        <v>0</v>
      </c>
      <c r="O142">
        <v>23</v>
      </c>
      <c r="P142">
        <v>0</v>
      </c>
      <c r="Q142">
        <v>0</v>
      </c>
      <c r="R142" t="s">
        <v>36</v>
      </c>
      <c r="S142" t="s">
        <v>46</v>
      </c>
      <c r="T142" t="s">
        <v>38</v>
      </c>
      <c r="U142">
        <v>2</v>
      </c>
      <c r="W142">
        <v>1</v>
      </c>
      <c r="X142">
        <v>0</v>
      </c>
      <c r="Y142">
        <v>0</v>
      </c>
      <c r="Z142" t="s">
        <v>39</v>
      </c>
      <c r="AA142" t="s">
        <v>40</v>
      </c>
      <c r="AB142" t="s">
        <v>41</v>
      </c>
    </row>
    <row r="143" spans="1:28" x14ac:dyDescent="0.35">
      <c r="A143" s="3">
        <v>46240</v>
      </c>
      <c r="B143">
        <v>210279</v>
      </c>
      <c r="C143" t="s">
        <v>87</v>
      </c>
      <c r="D143" t="s">
        <v>31</v>
      </c>
      <c r="E143" t="s">
        <v>88</v>
      </c>
      <c r="F143" t="s">
        <v>44</v>
      </c>
      <c r="G143">
        <v>7</v>
      </c>
      <c r="H143" t="s">
        <v>34</v>
      </c>
      <c r="I143" s="3">
        <v>46241</v>
      </c>
      <c r="J143" s="3">
        <v>46217.633912037039</v>
      </c>
      <c r="K143" s="9">
        <f t="shared" si="2"/>
        <v>32</v>
      </c>
      <c r="L143">
        <v>10225.6</v>
      </c>
      <c r="M143" t="s">
        <v>35</v>
      </c>
      <c r="N143">
        <v>0</v>
      </c>
      <c r="O143">
        <v>7</v>
      </c>
      <c r="P143">
        <v>0</v>
      </c>
      <c r="Q143">
        <v>0</v>
      </c>
      <c r="R143" t="s">
        <v>36</v>
      </c>
      <c r="S143" t="s">
        <v>46</v>
      </c>
      <c r="T143" t="s">
        <v>38</v>
      </c>
      <c r="U143">
        <v>3</v>
      </c>
      <c r="W143">
        <v>1</v>
      </c>
      <c r="X143">
        <v>0</v>
      </c>
      <c r="Y143">
        <v>0</v>
      </c>
      <c r="Z143" t="s">
        <v>39</v>
      </c>
      <c r="AA143" t="s">
        <v>40</v>
      </c>
      <c r="AB143" t="s">
        <v>41</v>
      </c>
    </row>
    <row r="144" spans="1:28" x14ac:dyDescent="0.35">
      <c r="A144" s="3">
        <v>46240</v>
      </c>
      <c r="B144">
        <v>210279</v>
      </c>
      <c r="C144" t="s">
        <v>103</v>
      </c>
      <c r="D144" t="s">
        <v>31</v>
      </c>
      <c r="E144" t="s">
        <v>104</v>
      </c>
      <c r="F144" t="s">
        <v>44</v>
      </c>
      <c r="G144">
        <v>3</v>
      </c>
      <c r="H144" t="s">
        <v>34</v>
      </c>
      <c r="I144" s="3">
        <v>46241</v>
      </c>
      <c r="J144" s="3">
        <v>46217.633912037039</v>
      </c>
      <c r="K144" s="9">
        <f t="shared" si="2"/>
        <v>32</v>
      </c>
      <c r="L144">
        <v>5049</v>
      </c>
      <c r="M144" t="s">
        <v>35</v>
      </c>
      <c r="N144">
        <v>0</v>
      </c>
      <c r="O144">
        <v>3</v>
      </c>
      <c r="P144">
        <v>0</v>
      </c>
      <c r="Q144">
        <v>0</v>
      </c>
      <c r="R144" t="s">
        <v>36</v>
      </c>
      <c r="S144" t="s">
        <v>46</v>
      </c>
      <c r="T144" t="s">
        <v>38</v>
      </c>
      <c r="U144">
        <v>4</v>
      </c>
      <c r="W144">
        <v>1</v>
      </c>
      <c r="X144">
        <v>0</v>
      </c>
      <c r="Y144">
        <v>0</v>
      </c>
      <c r="Z144" t="s">
        <v>39</v>
      </c>
      <c r="AA144" t="s">
        <v>40</v>
      </c>
      <c r="AB144" t="s">
        <v>41</v>
      </c>
    </row>
    <row r="145" spans="1:28" x14ac:dyDescent="0.35">
      <c r="A145" s="3">
        <v>46240</v>
      </c>
      <c r="B145">
        <v>210279</v>
      </c>
      <c r="C145" t="s">
        <v>67</v>
      </c>
      <c r="D145" t="s">
        <v>31</v>
      </c>
      <c r="E145" t="s">
        <v>68</v>
      </c>
      <c r="F145" t="s">
        <v>44</v>
      </c>
      <c r="G145">
        <v>9</v>
      </c>
      <c r="H145" t="s">
        <v>34</v>
      </c>
      <c r="I145" s="3">
        <v>46241</v>
      </c>
      <c r="J145" s="3">
        <v>46217.633912037039</v>
      </c>
      <c r="K145" s="9">
        <f t="shared" si="2"/>
        <v>32</v>
      </c>
      <c r="L145">
        <v>8514</v>
      </c>
      <c r="M145" t="s">
        <v>35</v>
      </c>
      <c r="N145">
        <v>0</v>
      </c>
      <c r="O145">
        <v>9</v>
      </c>
      <c r="P145">
        <v>0</v>
      </c>
      <c r="Q145">
        <v>0</v>
      </c>
      <c r="R145" t="s">
        <v>36</v>
      </c>
      <c r="S145" t="s">
        <v>46</v>
      </c>
      <c r="T145" t="s">
        <v>38</v>
      </c>
      <c r="U145">
        <v>5</v>
      </c>
      <c r="W145">
        <v>1</v>
      </c>
      <c r="X145">
        <v>0</v>
      </c>
      <c r="Y145">
        <v>0</v>
      </c>
      <c r="Z145" t="s">
        <v>39</v>
      </c>
      <c r="AA145" t="s">
        <v>40</v>
      </c>
      <c r="AB145" t="s">
        <v>41</v>
      </c>
    </row>
    <row r="146" spans="1:28" x14ac:dyDescent="0.35">
      <c r="A146" s="3">
        <v>46240</v>
      </c>
      <c r="B146">
        <v>209948</v>
      </c>
      <c r="C146" t="s">
        <v>51</v>
      </c>
      <c r="D146" t="s">
        <v>31</v>
      </c>
      <c r="E146" t="s">
        <v>52</v>
      </c>
      <c r="F146" t="s">
        <v>44</v>
      </c>
      <c r="G146">
        <v>5</v>
      </c>
      <c r="H146" t="s">
        <v>45</v>
      </c>
      <c r="I146" s="3">
        <v>46241</v>
      </c>
      <c r="J146" s="3">
        <v>46213.48678240741</v>
      </c>
      <c r="K146" s="9">
        <f t="shared" si="2"/>
        <v>32</v>
      </c>
      <c r="L146">
        <v>3168</v>
      </c>
      <c r="M146" t="s">
        <v>35</v>
      </c>
      <c r="N146">
        <v>0</v>
      </c>
      <c r="O146">
        <v>5</v>
      </c>
      <c r="P146">
        <v>0</v>
      </c>
      <c r="Q146">
        <v>0</v>
      </c>
      <c r="R146" t="s">
        <v>36</v>
      </c>
      <c r="S146" t="s">
        <v>46</v>
      </c>
      <c r="T146" t="s">
        <v>38</v>
      </c>
      <c r="U146">
        <v>1</v>
      </c>
      <c r="W146">
        <v>1</v>
      </c>
      <c r="X146">
        <v>0</v>
      </c>
      <c r="Y146">
        <v>0</v>
      </c>
      <c r="Z146" t="s">
        <v>39</v>
      </c>
      <c r="AA146" t="s">
        <v>40</v>
      </c>
      <c r="AB146" t="s">
        <v>41</v>
      </c>
    </row>
    <row r="147" spans="1:28" x14ac:dyDescent="0.35">
      <c r="A147" s="3">
        <v>46240</v>
      </c>
      <c r="B147">
        <v>209948</v>
      </c>
      <c r="C147" t="s">
        <v>59</v>
      </c>
      <c r="D147" t="s">
        <v>31</v>
      </c>
      <c r="E147" t="s">
        <v>60</v>
      </c>
      <c r="F147" t="s">
        <v>44</v>
      </c>
      <c r="G147">
        <v>15</v>
      </c>
      <c r="H147" t="s">
        <v>45</v>
      </c>
      <c r="I147" s="3">
        <v>46241</v>
      </c>
      <c r="J147" s="3">
        <v>46213.48678240741</v>
      </c>
      <c r="K147" s="9">
        <f t="shared" si="2"/>
        <v>32</v>
      </c>
      <c r="L147">
        <v>9273</v>
      </c>
      <c r="M147" t="s">
        <v>35</v>
      </c>
      <c r="N147">
        <v>0</v>
      </c>
      <c r="O147">
        <v>15</v>
      </c>
      <c r="P147">
        <v>0</v>
      </c>
      <c r="Q147">
        <v>0</v>
      </c>
      <c r="R147" t="s">
        <v>36</v>
      </c>
      <c r="S147" t="s">
        <v>46</v>
      </c>
      <c r="T147" t="s">
        <v>38</v>
      </c>
      <c r="U147">
        <v>2</v>
      </c>
      <c r="W147">
        <v>1</v>
      </c>
      <c r="X147">
        <v>0</v>
      </c>
      <c r="Y147">
        <v>0</v>
      </c>
      <c r="Z147" t="s">
        <v>39</v>
      </c>
      <c r="AA147" t="s">
        <v>40</v>
      </c>
      <c r="AB147" t="s">
        <v>41</v>
      </c>
    </row>
    <row r="148" spans="1:28" x14ac:dyDescent="0.35">
      <c r="A148" s="3">
        <v>46240</v>
      </c>
      <c r="B148">
        <v>209948</v>
      </c>
      <c r="C148" t="s">
        <v>61</v>
      </c>
      <c r="D148" t="s">
        <v>31</v>
      </c>
      <c r="E148" t="s">
        <v>62</v>
      </c>
      <c r="F148" t="s">
        <v>44</v>
      </c>
      <c r="G148">
        <v>11</v>
      </c>
      <c r="H148" t="s">
        <v>45</v>
      </c>
      <c r="I148" s="3">
        <v>46241</v>
      </c>
      <c r="J148" s="3">
        <v>46213.48678240741</v>
      </c>
      <c r="K148" s="9">
        <f t="shared" si="2"/>
        <v>32</v>
      </c>
      <c r="L148">
        <v>11242</v>
      </c>
      <c r="M148" t="s">
        <v>35</v>
      </c>
      <c r="N148">
        <v>0</v>
      </c>
      <c r="O148">
        <v>11</v>
      </c>
      <c r="P148">
        <v>0</v>
      </c>
      <c r="Q148">
        <v>0</v>
      </c>
      <c r="R148" t="s">
        <v>36</v>
      </c>
      <c r="S148" t="s">
        <v>46</v>
      </c>
      <c r="T148" t="s">
        <v>38</v>
      </c>
      <c r="U148">
        <v>3</v>
      </c>
      <c r="W148">
        <v>1</v>
      </c>
      <c r="X148">
        <v>0</v>
      </c>
      <c r="Y148">
        <v>0</v>
      </c>
      <c r="Z148" t="s">
        <v>39</v>
      </c>
      <c r="AA148" t="s">
        <v>40</v>
      </c>
      <c r="AB148" t="s">
        <v>41</v>
      </c>
    </row>
    <row r="149" spans="1:28" x14ac:dyDescent="0.35">
      <c r="A149" s="3">
        <v>46240</v>
      </c>
      <c r="B149">
        <v>209946</v>
      </c>
      <c r="C149" t="s">
        <v>83</v>
      </c>
      <c r="D149" t="s">
        <v>31</v>
      </c>
      <c r="E149" t="s">
        <v>84</v>
      </c>
      <c r="F149" t="s">
        <v>44</v>
      </c>
      <c r="G149">
        <v>3</v>
      </c>
      <c r="H149" t="s">
        <v>34</v>
      </c>
      <c r="I149" s="3">
        <v>46241</v>
      </c>
      <c r="J149" s="3">
        <v>46213.485729166663</v>
      </c>
      <c r="K149" s="9">
        <f t="shared" si="2"/>
        <v>32</v>
      </c>
      <c r="L149">
        <v>4705.8</v>
      </c>
      <c r="M149" t="s">
        <v>35</v>
      </c>
      <c r="N149">
        <v>0</v>
      </c>
      <c r="O149">
        <v>3</v>
      </c>
      <c r="P149">
        <v>0</v>
      </c>
      <c r="Q149">
        <v>0</v>
      </c>
      <c r="R149" t="s">
        <v>36</v>
      </c>
      <c r="S149" t="s">
        <v>46</v>
      </c>
      <c r="T149" t="s">
        <v>38</v>
      </c>
      <c r="U149">
        <v>1</v>
      </c>
      <c r="W149">
        <v>1</v>
      </c>
      <c r="X149">
        <v>0</v>
      </c>
      <c r="Y149">
        <v>0</v>
      </c>
      <c r="Z149" t="s">
        <v>39</v>
      </c>
      <c r="AA149" t="s">
        <v>40</v>
      </c>
      <c r="AB149" t="s">
        <v>41</v>
      </c>
    </row>
    <row r="150" spans="1:28" x14ac:dyDescent="0.35">
      <c r="A150" s="3">
        <v>46240</v>
      </c>
      <c r="B150">
        <v>209946</v>
      </c>
      <c r="C150" t="s">
        <v>59</v>
      </c>
      <c r="D150" t="s">
        <v>31</v>
      </c>
      <c r="E150" t="s">
        <v>60</v>
      </c>
      <c r="F150" t="s">
        <v>44</v>
      </c>
      <c r="G150">
        <v>19</v>
      </c>
      <c r="H150" t="s">
        <v>34</v>
      </c>
      <c r="I150" s="3">
        <v>46241</v>
      </c>
      <c r="J150" s="3">
        <v>46213.485729166663</v>
      </c>
      <c r="K150" s="9">
        <f t="shared" si="2"/>
        <v>32</v>
      </c>
      <c r="L150">
        <v>11745.8</v>
      </c>
      <c r="M150" t="s">
        <v>35</v>
      </c>
      <c r="N150">
        <v>0</v>
      </c>
      <c r="O150">
        <v>19</v>
      </c>
      <c r="P150">
        <v>0</v>
      </c>
      <c r="Q150">
        <v>0</v>
      </c>
      <c r="R150" t="s">
        <v>36</v>
      </c>
      <c r="S150" t="s">
        <v>46</v>
      </c>
      <c r="T150" t="s">
        <v>38</v>
      </c>
      <c r="U150">
        <v>2</v>
      </c>
      <c r="W150">
        <v>1</v>
      </c>
      <c r="X150">
        <v>0</v>
      </c>
      <c r="Y150">
        <v>0</v>
      </c>
      <c r="Z150" t="s">
        <v>39</v>
      </c>
      <c r="AA150" t="s">
        <v>40</v>
      </c>
      <c r="AB150" t="s">
        <v>41</v>
      </c>
    </row>
    <row r="151" spans="1:28" x14ac:dyDescent="0.35">
      <c r="A151" s="3">
        <v>46240</v>
      </c>
      <c r="B151">
        <v>209946</v>
      </c>
      <c r="C151" t="s">
        <v>85</v>
      </c>
      <c r="D151" t="s">
        <v>31</v>
      </c>
      <c r="E151" t="s">
        <v>86</v>
      </c>
      <c r="F151" t="s">
        <v>33</v>
      </c>
      <c r="G151">
        <v>2</v>
      </c>
      <c r="H151" t="s">
        <v>34</v>
      </c>
      <c r="I151" s="3">
        <v>46241</v>
      </c>
      <c r="J151" s="3">
        <v>46213.485729166663</v>
      </c>
      <c r="K151" s="9">
        <f t="shared" si="2"/>
        <v>32</v>
      </c>
      <c r="L151">
        <v>446</v>
      </c>
      <c r="M151" t="s">
        <v>35</v>
      </c>
      <c r="N151">
        <v>0</v>
      </c>
      <c r="O151">
        <v>2</v>
      </c>
      <c r="P151">
        <v>0</v>
      </c>
      <c r="Q151">
        <v>0</v>
      </c>
      <c r="R151" t="s">
        <v>36</v>
      </c>
      <c r="S151" t="s">
        <v>46</v>
      </c>
      <c r="T151" t="s">
        <v>38</v>
      </c>
      <c r="U151">
        <v>3</v>
      </c>
      <c r="W151">
        <v>1</v>
      </c>
      <c r="X151">
        <v>0</v>
      </c>
      <c r="Y151">
        <v>0</v>
      </c>
      <c r="Z151" t="s">
        <v>39</v>
      </c>
      <c r="AA151" t="s">
        <v>40</v>
      </c>
      <c r="AB151" t="s">
        <v>41</v>
      </c>
    </row>
    <row r="152" spans="1:28" x14ac:dyDescent="0.35">
      <c r="A152" s="3">
        <v>46240</v>
      </c>
      <c r="B152">
        <v>209946</v>
      </c>
      <c r="C152" t="s">
        <v>57</v>
      </c>
      <c r="D152" t="s">
        <v>31</v>
      </c>
      <c r="E152" t="s">
        <v>58</v>
      </c>
      <c r="F152" t="s">
        <v>44</v>
      </c>
      <c r="G152">
        <v>3</v>
      </c>
      <c r="H152" t="s">
        <v>34</v>
      </c>
      <c r="I152" s="3">
        <v>46241</v>
      </c>
      <c r="J152" s="3">
        <v>46213.485729166663</v>
      </c>
      <c r="K152" s="9">
        <f t="shared" si="2"/>
        <v>32</v>
      </c>
      <c r="L152">
        <v>7590</v>
      </c>
      <c r="M152" t="s">
        <v>35</v>
      </c>
      <c r="N152">
        <v>0</v>
      </c>
      <c r="O152">
        <v>3</v>
      </c>
      <c r="P152">
        <v>0</v>
      </c>
      <c r="Q152">
        <v>0</v>
      </c>
      <c r="R152" t="s">
        <v>36</v>
      </c>
      <c r="S152" t="s">
        <v>46</v>
      </c>
      <c r="T152" t="s">
        <v>38</v>
      </c>
      <c r="U152">
        <v>4</v>
      </c>
      <c r="W152">
        <v>1</v>
      </c>
      <c r="X152">
        <v>0</v>
      </c>
      <c r="Y152">
        <v>0</v>
      </c>
      <c r="Z152" t="s">
        <v>39</v>
      </c>
      <c r="AA152" t="s">
        <v>40</v>
      </c>
      <c r="AB152" t="s">
        <v>41</v>
      </c>
    </row>
    <row r="153" spans="1:28" x14ac:dyDescent="0.35">
      <c r="A153" s="3">
        <v>46240</v>
      </c>
      <c r="B153">
        <v>209945</v>
      </c>
      <c r="C153" t="s">
        <v>55</v>
      </c>
      <c r="D153" t="s">
        <v>31</v>
      </c>
      <c r="E153" t="s">
        <v>56</v>
      </c>
      <c r="F153" t="s">
        <v>44</v>
      </c>
      <c r="G153">
        <v>7</v>
      </c>
      <c r="H153" t="s">
        <v>93</v>
      </c>
      <c r="I153" s="3">
        <v>46241</v>
      </c>
      <c r="J153" s="3">
        <v>46213.484664351854</v>
      </c>
      <c r="K153" s="9">
        <f t="shared" si="2"/>
        <v>32</v>
      </c>
      <c r="L153">
        <v>6545</v>
      </c>
      <c r="M153" t="s">
        <v>35</v>
      </c>
      <c r="N153">
        <v>0</v>
      </c>
      <c r="O153">
        <v>7</v>
      </c>
      <c r="P153">
        <v>0</v>
      </c>
      <c r="Q153">
        <v>0</v>
      </c>
      <c r="R153" t="s">
        <v>36</v>
      </c>
      <c r="S153" t="s">
        <v>46</v>
      </c>
      <c r="T153" t="s">
        <v>38</v>
      </c>
      <c r="U153">
        <v>1</v>
      </c>
      <c r="W153">
        <v>1</v>
      </c>
      <c r="X153">
        <v>0</v>
      </c>
      <c r="Y153">
        <v>0</v>
      </c>
      <c r="Z153" t="s">
        <v>39</v>
      </c>
      <c r="AA153" t="s">
        <v>40</v>
      </c>
      <c r="AB153" t="s">
        <v>41</v>
      </c>
    </row>
    <row r="154" spans="1:28" x14ac:dyDescent="0.35">
      <c r="A154" s="3">
        <v>46240</v>
      </c>
      <c r="B154">
        <v>209941</v>
      </c>
      <c r="C154" t="s">
        <v>61</v>
      </c>
      <c r="D154" t="s">
        <v>31</v>
      </c>
      <c r="E154" t="s">
        <v>62</v>
      </c>
      <c r="F154" t="s">
        <v>44</v>
      </c>
      <c r="G154">
        <v>3</v>
      </c>
      <c r="H154" t="s">
        <v>96</v>
      </c>
      <c r="I154" s="3">
        <v>46241</v>
      </c>
      <c r="J154" s="3">
        <v>46213.481481481482</v>
      </c>
      <c r="K154" s="9">
        <f t="shared" si="2"/>
        <v>32</v>
      </c>
      <c r="L154">
        <v>3066</v>
      </c>
      <c r="M154" t="s">
        <v>35</v>
      </c>
      <c r="N154">
        <v>0</v>
      </c>
      <c r="O154">
        <v>3</v>
      </c>
      <c r="P154">
        <v>0</v>
      </c>
      <c r="Q154">
        <v>0</v>
      </c>
      <c r="R154" t="s">
        <v>36</v>
      </c>
      <c r="S154" t="s">
        <v>46</v>
      </c>
      <c r="T154" t="s">
        <v>38</v>
      </c>
      <c r="U154">
        <v>1</v>
      </c>
      <c r="W154">
        <v>1</v>
      </c>
      <c r="X154">
        <v>0</v>
      </c>
      <c r="Y154">
        <v>0</v>
      </c>
      <c r="Z154" t="s">
        <v>39</v>
      </c>
      <c r="AA154" t="s">
        <v>40</v>
      </c>
      <c r="AB154" t="s">
        <v>41</v>
      </c>
    </row>
    <row r="155" spans="1:28" x14ac:dyDescent="0.35">
      <c r="A155" s="3">
        <v>46240</v>
      </c>
      <c r="B155">
        <v>209941</v>
      </c>
      <c r="C155" t="s">
        <v>67</v>
      </c>
      <c r="D155" t="s">
        <v>31</v>
      </c>
      <c r="E155" t="s">
        <v>68</v>
      </c>
      <c r="F155" t="s">
        <v>44</v>
      </c>
      <c r="G155">
        <v>1</v>
      </c>
      <c r="H155" t="s">
        <v>96</v>
      </c>
      <c r="I155" s="3">
        <v>46241</v>
      </c>
      <c r="J155" s="3">
        <v>46213.481481481482</v>
      </c>
      <c r="K155" s="9">
        <f t="shared" si="2"/>
        <v>32</v>
      </c>
      <c r="L155">
        <v>946</v>
      </c>
      <c r="M155" t="s">
        <v>35</v>
      </c>
      <c r="N155">
        <v>0</v>
      </c>
      <c r="O155">
        <v>1</v>
      </c>
      <c r="P155">
        <v>0</v>
      </c>
      <c r="Q155">
        <v>0</v>
      </c>
      <c r="R155" t="s">
        <v>36</v>
      </c>
      <c r="S155" t="s">
        <v>46</v>
      </c>
      <c r="T155" t="s">
        <v>38</v>
      </c>
      <c r="U155">
        <v>2</v>
      </c>
      <c r="W155">
        <v>1</v>
      </c>
      <c r="X155">
        <v>0</v>
      </c>
      <c r="Y155">
        <v>0</v>
      </c>
      <c r="Z155" t="s">
        <v>39</v>
      </c>
      <c r="AA155" t="s">
        <v>40</v>
      </c>
      <c r="AB155" t="s">
        <v>41</v>
      </c>
    </row>
    <row r="156" spans="1:28" x14ac:dyDescent="0.35">
      <c r="A156" s="3">
        <v>46240</v>
      </c>
      <c r="B156">
        <v>209884</v>
      </c>
      <c r="C156" t="s">
        <v>91</v>
      </c>
      <c r="D156" t="s">
        <v>31</v>
      </c>
      <c r="E156" t="s">
        <v>92</v>
      </c>
      <c r="F156" t="s">
        <v>33</v>
      </c>
      <c r="G156">
        <v>4</v>
      </c>
      <c r="H156" t="s">
        <v>34</v>
      </c>
      <c r="I156" s="3">
        <v>46241</v>
      </c>
      <c r="J156" s="3">
        <v>46213.42386574074</v>
      </c>
      <c r="K156" s="9">
        <f t="shared" si="2"/>
        <v>32</v>
      </c>
      <c r="L156">
        <v>2120</v>
      </c>
      <c r="M156" t="s">
        <v>35</v>
      </c>
      <c r="N156">
        <v>0</v>
      </c>
      <c r="O156">
        <v>4</v>
      </c>
      <c r="P156">
        <v>0</v>
      </c>
      <c r="Q156">
        <v>0</v>
      </c>
      <c r="R156" t="s">
        <v>36</v>
      </c>
      <c r="S156" t="s">
        <v>46</v>
      </c>
      <c r="T156" t="s">
        <v>38</v>
      </c>
      <c r="U156">
        <v>1</v>
      </c>
      <c r="W156">
        <v>1</v>
      </c>
      <c r="X156">
        <v>0</v>
      </c>
      <c r="Y156">
        <v>0</v>
      </c>
      <c r="Z156" t="s">
        <v>39</v>
      </c>
      <c r="AA156" t="s">
        <v>40</v>
      </c>
      <c r="AB156" t="s">
        <v>41</v>
      </c>
    </row>
    <row r="157" spans="1:28" x14ac:dyDescent="0.35">
      <c r="A157" s="3">
        <v>46240</v>
      </c>
      <c r="B157">
        <v>209178</v>
      </c>
      <c r="C157" t="s">
        <v>71</v>
      </c>
      <c r="D157" t="s">
        <v>31</v>
      </c>
      <c r="E157" t="s">
        <v>72</v>
      </c>
      <c r="F157" t="s">
        <v>44</v>
      </c>
      <c r="G157">
        <v>300</v>
      </c>
      <c r="H157" t="s">
        <v>45</v>
      </c>
      <c r="I157" s="3">
        <v>46241</v>
      </c>
      <c r="J157" s="3">
        <v>46202.730115740742</v>
      </c>
      <c r="K157" s="9">
        <f t="shared" si="2"/>
        <v>32</v>
      </c>
      <c r="L157">
        <v>169317</v>
      </c>
      <c r="M157" t="s">
        <v>35</v>
      </c>
      <c r="N157">
        <v>0</v>
      </c>
      <c r="O157">
        <v>300</v>
      </c>
      <c r="P157">
        <v>0</v>
      </c>
      <c r="Q157">
        <v>0</v>
      </c>
      <c r="R157" t="s">
        <v>36</v>
      </c>
      <c r="S157" t="s">
        <v>46</v>
      </c>
      <c r="T157" t="s">
        <v>38</v>
      </c>
      <c r="U157">
        <v>1</v>
      </c>
      <c r="W157">
        <v>1</v>
      </c>
      <c r="X157">
        <v>0</v>
      </c>
      <c r="Y157">
        <v>0</v>
      </c>
      <c r="Z157" t="s">
        <v>39</v>
      </c>
      <c r="AA157" t="s">
        <v>40</v>
      </c>
      <c r="AB157" t="s">
        <v>41</v>
      </c>
    </row>
    <row r="158" spans="1:28" x14ac:dyDescent="0.35">
      <c r="A158" s="3">
        <v>46247</v>
      </c>
      <c r="B158">
        <v>210307</v>
      </c>
      <c r="C158" t="s">
        <v>79</v>
      </c>
      <c r="D158" t="s">
        <v>31</v>
      </c>
      <c r="E158" t="s">
        <v>80</v>
      </c>
      <c r="F158" t="s">
        <v>33</v>
      </c>
      <c r="G158">
        <v>3</v>
      </c>
      <c r="H158" t="s">
        <v>34</v>
      </c>
      <c r="I158" s="3">
        <v>46248</v>
      </c>
      <c r="J158" s="3">
        <v>46217.661516203705</v>
      </c>
      <c r="K158" s="9">
        <f t="shared" si="2"/>
        <v>33</v>
      </c>
      <c r="L158">
        <v>144</v>
      </c>
      <c r="M158" t="s">
        <v>35</v>
      </c>
      <c r="N158">
        <v>0</v>
      </c>
      <c r="O158">
        <v>3</v>
      </c>
      <c r="P158">
        <v>0</v>
      </c>
      <c r="Q158">
        <v>0</v>
      </c>
      <c r="R158" t="s">
        <v>36</v>
      </c>
      <c r="S158" t="s">
        <v>46</v>
      </c>
      <c r="T158" t="s">
        <v>38</v>
      </c>
      <c r="U158">
        <v>1</v>
      </c>
      <c r="W158">
        <v>1</v>
      </c>
      <c r="X158">
        <v>0</v>
      </c>
      <c r="Y158">
        <v>0</v>
      </c>
      <c r="Z158" t="s">
        <v>39</v>
      </c>
      <c r="AA158" t="s">
        <v>40</v>
      </c>
      <c r="AB158" t="s">
        <v>41</v>
      </c>
    </row>
    <row r="159" spans="1:28" x14ac:dyDescent="0.35">
      <c r="A159" s="3">
        <v>46247</v>
      </c>
      <c r="B159">
        <v>210307</v>
      </c>
      <c r="C159" t="s">
        <v>75</v>
      </c>
      <c r="D159" t="s">
        <v>31</v>
      </c>
      <c r="E159" t="s">
        <v>76</v>
      </c>
      <c r="F159" t="s">
        <v>33</v>
      </c>
      <c r="G159">
        <v>3</v>
      </c>
      <c r="H159" t="s">
        <v>34</v>
      </c>
      <c r="I159" s="3">
        <v>46248</v>
      </c>
      <c r="J159" s="3">
        <v>46217.661516203705</v>
      </c>
      <c r="K159" s="9">
        <f t="shared" si="2"/>
        <v>33</v>
      </c>
      <c r="L159">
        <v>144</v>
      </c>
      <c r="M159" t="s">
        <v>35</v>
      </c>
      <c r="N159">
        <v>0</v>
      </c>
      <c r="O159">
        <v>3</v>
      </c>
      <c r="P159">
        <v>0</v>
      </c>
      <c r="Q159">
        <v>0</v>
      </c>
      <c r="R159" t="s">
        <v>36</v>
      </c>
      <c r="S159" t="s">
        <v>46</v>
      </c>
      <c r="T159" t="s">
        <v>38</v>
      </c>
      <c r="U159">
        <v>2</v>
      </c>
      <c r="W159">
        <v>1</v>
      </c>
      <c r="X159">
        <v>0</v>
      </c>
      <c r="Y159">
        <v>0</v>
      </c>
      <c r="Z159" t="s">
        <v>39</v>
      </c>
      <c r="AA159" t="s">
        <v>40</v>
      </c>
      <c r="AB159" t="s">
        <v>41</v>
      </c>
    </row>
    <row r="160" spans="1:28" x14ac:dyDescent="0.35">
      <c r="A160" s="3">
        <v>46247</v>
      </c>
      <c r="B160">
        <v>210300</v>
      </c>
      <c r="C160" t="s">
        <v>51</v>
      </c>
      <c r="D160" t="s">
        <v>31</v>
      </c>
      <c r="E160" t="s">
        <v>52</v>
      </c>
      <c r="F160" t="s">
        <v>44</v>
      </c>
      <c r="G160">
        <v>8</v>
      </c>
      <c r="H160" t="s">
        <v>45</v>
      </c>
      <c r="I160" s="3">
        <v>46248</v>
      </c>
      <c r="J160" s="3">
        <v>46217.6562037037</v>
      </c>
      <c r="K160" s="9">
        <f t="shared" si="2"/>
        <v>33</v>
      </c>
      <c r="L160">
        <v>5068.8</v>
      </c>
      <c r="M160" t="s">
        <v>35</v>
      </c>
      <c r="N160">
        <v>0</v>
      </c>
      <c r="O160">
        <v>8</v>
      </c>
      <c r="P160">
        <v>0</v>
      </c>
      <c r="Q160">
        <v>0</v>
      </c>
      <c r="R160" t="s">
        <v>36</v>
      </c>
      <c r="S160" t="s">
        <v>46</v>
      </c>
      <c r="T160" t="s">
        <v>38</v>
      </c>
      <c r="U160">
        <v>1</v>
      </c>
      <c r="W160">
        <v>1</v>
      </c>
      <c r="X160">
        <v>0</v>
      </c>
      <c r="Y160">
        <v>0</v>
      </c>
      <c r="Z160" t="s">
        <v>39</v>
      </c>
      <c r="AA160" t="s">
        <v>40</v>
      </c>
      <c r="AB160" t="s">
        <v>41</v>
      </c>
    </row>
    <row r="161" spans="1:28" x14ac:dyDescent="0.35">
      <c r="A161" s="3">
        <v>46247</v>
      </c>
      <c r="B161">
        <v>210300</v>
      </c>
      <c r="C161" t="s">
        <v>59</v>
      </c>
      <c r="D161" t="s">
        <v>31</v>
      </c>
      <c r="E161" t="s">
        <v>60</v>
      </c>
      <c r="F161" t="s">
        <v>44</v>
      </c>
      <c r="G161">
        <v>23</v>
      </c>
      <c r="H161" t="s">
        <v>45</v>
      </c>
      <c r="I161" s="3">
        <v>46248</v>
      </c>
      <c r="J161" s="3">
        <v>46217.6562037037</v>
      </c>
      <c r="K161" s="9">
        <f t="shared" si="2"/>
        <v>33</v>
      </c>
      <c r="L161">
        <v>14218.6</v>
      </c>
      <c r="M161" t="s">
        <v>35</v>
      </c>
      <c r="N161">
        <v>0</v>
      </c>
      <c r="O161">
        <v>23</v>
      </c>
      <c r="P161">
        <v>0</v>
      </c>
      <c r="Q161">
        <v>0</v>
      </c>
      <c r="R161" t="s">
        <v>36</v>
      </c>
      <c r="S161" t="s">
        <v>46</v>
      </c>
      <c r="T161" t="s">
        <v>38</v>
      </c>
      <c r="U161">
        <v>2</v>
      </c>
      <c r="W161">
        <v>1</v>
      </c>
      <c r="X161">
        <v>0</v>
      </c>
      <c r="Y161">
        <v>0</v>
      </c>
      <c r="Z161" t="s">
        <v>39</v>
      </c>
      <c r="AA161" t="s">
        <v>40</v>
      </c>
      <c r="AB161" t="s">
        <v>41</v>
      </c>
    </row>
    <row r="162" spans="1:28" x14ac:dyDescent="0.35">
      <c r="A162" s="3">
        <v>46247</v>
      </c>
      <c r="B162">
        <v>210300</v>
      </c>
      <c r="C162" t="s">
        <v>61</v>
      </c>
      <c r="D162" t="s">
        <v>31</v>
      </c>
      <c r="E162" t="s">
        <v>62</v>
      </c>
      <c r="F162" t="s">
        <v>44</v>
      </c>
      <c r="G162">
        <v>6</v>
      </c>
      <c r="H162" t="s">
        <v>45</v>
      </c>
      <c r="I162" s="3">
        <v>46248</v>
      </c>
      <c r="J162" s="3">
        <v>46217.6562037037</v>
      </c>
      <c r="K162" s="9">
        <f t="shared" si="2"/>
        <v>33</v>
      </c>
      <c r="L162">
        <v>6132</v>
      </c>
      <c r="M162" t="s">
        <v>35</v>
      </c>
      <c r="N162">
        <v>0</v>
      </c>
      <c r="O162">
        <v>6</v>
      </c>
      <c r="P162">
        <v>0</v>
      </c>
      <c r="Q162">
        <v>0</v>
      </c>
      <c r="R162" t="s">
        <v>36</v>
      </c>
      <c r="S162" t="s">
        <v>46</v>
      </c>
      <c r="T162" t="s">
        <v>38</v>
      </c>
      <c r="U162">
        <v>3</v>
      </c>
      <c r="W162">
        <v>1</v>
      </c>
      <c r="X162">
        <v>0</v>
      </c>
      <c r="Y162">
        <v>0</v>
      </c>
      <c r="Z162" t="s">
        <v>39</v>
      </c>
      <c r="AA162" t="s">
        <v>40</v>
      </c>
      <c r="AB162" t="s">
        <v>41</v>
      </c>
    </row>
    <row r="163" spans="1:28" x14ac:dyDescent="0.35">
      <c r="A163" s="3">
        <v>46247</v>
      </c>
      <c r="B163">
        <v>210299</v>
      </c>
      <c r="C163" t="s">
        <v>71</v>
      </c>
      <c r="D163" t="s">
        <v>31</v>
      </c>
      <c r="E163" t="s">
        <v>72</v>
      </c>
      <c r="F163" t="s">
        <v>44</v>
      </c>
      <c r="G163">
        <v>300</v>
      </c>
      <c r="H163" t="s">
        <v>45</v>
      </c>
      <c r="I163" s="3">
        <v>46248</v>
      </c>
      <c r="J163" s="3">
        <v>46217.655127314814</v>
      </c>
      <c r="K163" s="9">
        <f t="shared" si="2"/>
        <v>33</v>
      </c>
      <c r="L163">
        <v>169317</v>
      </c>
      <c r="M163" t="s">
        <v>35</v>
      </c>
      <c r="N163">
        <v>0</v>
      </c>
      <c r="O163">
        <v>300</v>
      </c>
      <c r="P163">
        <v>0</v>
      </c>
      <c r="Q163">
        <v>0</v>
      </c>
      <c r="R163" t="s">
        <v>36</v>
      </c>
      <c r="S163" t="s">
        <v>46</v>
      </c>
      <c r="T163" t="s">
        <v>38</v>
      </c>
      <c r="U163">
        <v>1</v>
      </c>
      <c r="W163">
        <v>1</v>
      </c>
      <c r="X163">
        <v>0</v>
      </c>
      <c r="Y163">
        <v>0</v>
      </c>
      <c r="Z163" t="s">
        <v>39</v>
      </c>
      <c r="AA163" t="s">
        <v>40</v>
      </c>
      <c r="AB163" t="s">
        <v>41</v>
      </c>
    </row>
    <row r="164" spans="1:28" x14ac:dyDescent="0.35">
      <c r="A164" s="3">
        <v>46247</v>
      </c>
      <c r="B164">
        <v>210299</v>
      </c>
      <c r="C164" t="s">
        <v>105</v>
      </c>
      <c r="D164" t="s">
        <v>31</v>
      </c>
      <c r="E164" t="s">
        <v>106</v>
      </c>
      <c r="F164" t="s">
        <v>44</v>
      </c>
      <c r="G164">
        <v>10</v>
      </c>
      <c r="H164" t="s">
        <v>45</v>
      </c>
      <c r="I164" s="3">
        <v>46248</v>
      </c>
      <c r="J164" s="3">
        <v>46217.655127314814</v>
      </c>
      <c r="K164" s="9">
        <f t="shared" si="2"/>
        <v>33</v>
      </c>
      <c r="L164">
        <v>12788.5</v>
      </c>
      <c r="M164" t="s">
        <v>35</v>
      </c>
      <c r="N164">
        <v>0</v>
      </c>
      <c r="O164">
        <v>10</v>
      </c>
      <c r="P164">
        <v>0</v>
      </c>
      <c r="Q164">
        <v>0</v>
      </c>
      <c r="R164" t="s">
        <v>36</v>
      </c>
      <c r="S164" t="s">
        <v>46</v>
      </c>
      <c r="T164" t="s">
        <v>38</v>
      </c>
      <c r="U164">
        <v>2</v>
      </c>
      <c r="W164">
        <v>1</v>
      </c>
      <c r="X164">
        <v>0</v>
      </c>
      <c r="Y164">
        <v>0</v>
      </c>
      <c r="Z164" t="s">
        <v>39</v>
      </c>
      <c r="AA164" t="s">
        <v>40</v>
      </c>
      <c r="AB164" t="s">
        <v>41</v>
      </c>
    </row>
    <row r="165" spans="1:28" x14ac:dyDescent="0.35">
      <c r="A165" s="3">
        <v>46247</v>
      </c>
      <c r="B165">
        <v>210294</v>
      </c>
      <c r="C165" t="s">
        <v>77</v>
      </c>
      <c r="D165" t="s">
        <v>31</v>
      </c>
      <c r="E165" t="s">
        <v>78</v>
      </c>
      <c r="F165" t="s">
        <v>44</v>
      </c>
      <c r="G165">
        <v>2</v>
      </c>
      <c r="H165" t="s">
        <v>96</v>
      </c>
      <c r="I165" s="3">
        <v>46248</v>
      </c>
      <c r="J165" s="3">
        <v>46217.649826388886</v>
      </c>
      <c r="K165" s="9">
        <f t="shared" si="2"/>
        <v>33</v>
      </c>
      <c r="L165">
        <v>3740</v>
      </c>
      <c r="M165" t="s">
        <v>35</v>
      </c>
      <c r="N165">
        <v>0</v>
      </c>
      <c r="O165">
        <v>2</v>
      </c>
      <c r="P165">
        <v>0</v>
      </c>
      <c r="Q165">
        <v>0</v>
      </c>
      <c r="R165" t="s">
        <v>36</v>
      </c>
      <c r="S165" t="s">
        <v>46</v>
      </c>
      <c r="T165" t="s">
        <v>38</v>
      </c>
      <c r="U165">
        <v>1</v>
      </c>
      <c r="W165">
        <v>1</v>
      </c>
      <c r="X165">
        <v>0</v>
      </c>
      <c r="Y165">
        <v>0</v>
      </c>
      <c r="Z165" t="s">
        <v>39</v>
      </c>
      <c r="AA165" t="s">
        <v>40</v>
      </c>
      <c r="AB165" t="s">
        <v>41</v>
      </c>
    </row>
    <row r="166" spans="1:28" x14ac:dyDescent="0.35">
      <c r="A166" s="3">
        <v>46247</v>
      </c>
      <c r="B166">
        <v>210294</v>
      </c>
      <c r="C166" t="s">
        <v>51</v>
      </c>
      <c r="D166" t="s">
        <v>31</v>
      </c>
      <c r="E166" t="s">
        <v>52</v>
      </c>
      <c r="F166" t="s">
        <v>44</v>
      </c>
      <c r="G166">
        <v>2</v>
      </c>
      <c r="H166" t="s">
        <v>96</v>
      </c>
      <c r="I166" s="3">
        <v>46248</v>
      </c>
      <c r="J166" s="3">
        <v>46217.649826388886</v>
      </c>
      <c r="K166" s="9">
        <f t="shared" si="2"/>
        <v>33</v>
      </c>
      <c r="L166">
        <v>1267.2</v>
      </c>
      <c r="M166" t="s">
        <v>35</v>
      </c>
      <c r="N166">
        <v>0</v>
      </c>
      <c r="O166">
        <v>2</v>
      </c>
      <c r="P166">
        <v>0</v>
      </c>
      <c r="Q166">
        <v>0</v>
      </c>
      <c r="R166" t="s">
        <v>36</v>
      </c>
      <c r="S166" t="s">
        <v>46</v>
      </c>
      <c r="T166" t="s">
        <v>38</v>
      </c>
      <c r="U166">
        <v>2</v>
      </c>
      <c r="W166">
        <v>1</v>
      </c>
      <c r="X166">
        <v>0</v>
      </c>
      <c r="Y166">
        <v>0</v>
      </c>
      <c r="Z166" t="s">
        <v>39</v>
      </c>
      <c r="AA166" t="s">
        <v>40</v>
      </c>
      <c r="AB166" t="s">
        <v>41</v>
      </c>
    </row>
    <row r="167" spans="1:28" x14ac:dyDescent="0.35">
      <c r="A167" s="3">
        <v>46247</v>
      </c>
      <c r="B167">
        <v>210294</v>
      </c>
      <c r="C167" t="s">
        <v>59</v>
      </c>
      <c r="D167" t="s">
        <v>31</v>
      </c>
      <c r="E167" t="s">
        <v>60</v>
      </c>
      <c r="F167" t="s">
        <v>44</v>
      </c>
      <c r="G167">
        <v>5</v>
      </c>
      <c r="H167" t="s">
        <v>96</v>
      </c>
      <c r="I167" s="3">
        <v>46248</v>
      </c>
      <c r="J167" s="3">
        <v>46217.649826388886</v>
      </c>
      <c r="K167" s="9">
        <f t="shared" si="2"/>
        <v>33</v>
      </c>
      <c r="L167">
        <v>3091</v>
      </c>
      <c r="M167" t="s">
        <v>35</v>
      </c>
      <c r="N167">
        <v>0</v>
      </c>
      <c r="O167">
        <v>5</v>
      </c>
      <c r="P167">
        <v>0</v>
      </c>
      <c r="Q167">
        <v>0</v>
      </c>
      <c r="R167" t="s">
        <v>36</v>
      </c>
      <c r="S167" t="s">
        <v>46</v>
      </c>
      <c r="T167" t="s">
        <v>38</v>
      </c>
      <c r="U167">
        <v>3</v>
      </c>
      <c r="W167">
        <v>1</v>
      </c>
      <c r="X167">
        <v>0</v>
      </c>
      <c r="Y167">
        <v>0</v>
      </c>
      <c r="Z167" t="s">
        <v>39</v>
      </c>
      <c r="AA167" t="s">
        <v>40</v>
      </c>
      <c r="AB167" t="s">
        <v>41</v>
      </c>
    </row>
    <row r="168" spans="1:28" x14ac:dyDescent="0.35">
      <c r="A168" s="3">
        <v>46247</v>
      </c>
      <c r="B168">
        <v>210294</v>
      </c>
      <c r="C168" t="s">
        <v>61</v>
      </c>
      <c r="D168" t="s">
        <v>31</v>
      </c>
      <c r="E168" t="s">
        <v>62</v>
      </c>
      <c r="F168" t="s">
        <v>44</v>
      </c>
      <c r="G168">
        <v>3</v>
      </c>
      <c r="H168" t="s">
        <v>96</v>
      </c>
      <c r="I168" s="3">
        <v>46248</v>
      </c>
      <c r="J168" s="3">
        <v>46217.649826388886</v>
      </c>
      <c r="K168" s="9">
        <f t="shared" si="2"/>
        <v>33</v>
      </c>
      <c r="L168">
        <v>3066</v>
      </c>
      <c r="M168" t="s">
        <v>35</v>
      </c>
      <c r="N168">
        <v>0</v>
      </c>
      <c r="O168">
        <v>3</v>
      </c>
      <c r="P168">
        <v>0</v>
      </c>
      <c r="Q168">
        <v>0</v>
      </c>
      <c r="R168" t="s">
        <v>36</v>
      </c>
      <c r="S168" t="s">
        <v>46</v>
      </c>
      <c r="T168" t="s">
        <v>38</v>
      </c>
      <c r="U168">
        <v>4</v>
      </c>
      <c r="W168">
        <v>1</v>
      </c>
      <c r="X168">
        <v>0</v>
      </c>
      <c r="Y168">
        <v>0</v>
      </c>
      <c r="Z168" t="s">
        <v>39</v>
      </c>
      <c r="AA168" t="s">
        <v>40</v>
      </c>
      <c r="AB168" t="s">
        <v>41</v>
      </c>
    </row>
    <row r="169" spans="1:28" x14ac:dyDescent="0.35">
      <c r="A169" s="3">
        <v>46247</v>
      </c>
      <c r="B169">
        <v>210294</v>
      </c>
      <c r="C169" t="s">
        <v>55</v>
      </c>
      <c r="D169" t="s">
        <v>31</v>
      </c>
      <c r="E169" t="s">
        <v>56</v>
      </c>
      <c r="F169" t="s">
        <v>44</v>
      </c>
      <c r="G169">
        <v>2</v>
      </c>
      <c r="H169" t="s">
        <v>96</v>
      </c>
      <c r="I169" s="3">
        <v>46248</v>
      </c>
      <c r="J169" s="3">
        <v>46217.649826388886</v>
      </c>
      <c r="K169" s="9">
        <f t="shared" si="2"/>
        <v>33</v>
      </c>
      <c r="L169">
        <v>1870</v>
      </c>
      <c r="M169" t="s">
        <v>35</v>
      </c>
      <c r="N169">
        <v>0</v>
      </c>
      <c r="O169">
        <v>2</v>
      </c>
      <c r="P169">
        <v>0</v>
      </c>
      <c r="Q169">
        <v>0</v>
      </c>
      <c r="R169" t="s">
        <v>36</v>
      </c>
      <c r="S169" t="s">
        <v>46</v>
      </c>
      <c r="T169" t="s">
        <v>38</v>
      </c>
      <c r="U169">
        <v>5</v>
      </c>
      <c r="W169">
        <v>1</v>
      </c>
      <c r="X169">
        <v>0</v>
      </c>
      <c r="Y169">
        <v>0</v>
      </c>
      <c r="Z169" t="s">
        <v>39</v>
      </c>
      <c r="AA169" t="s">
        <v>40</v>
      </c>
      <c r="AB169" t="s">
        <v>41</v>
      </c>
    </row>
    <row r="170" spans="1:28" x14ac:dyDescent="0.35">
      <c r="A170" s="3">
        <v>46247</v>
      </c>
      <c r="B170">
        <v>210294</v>
      </c>
      <c r="C170" t="s">
        <v>89</v>
      </c>
      <c r="D170" t="s">
        <v>31</v>
      </c>
      <c r="E170" t="s">
        <v>90</v>
      </c>
      <c r="F170" t="s">
        <v>44</v>
      </c>
      <c r="G170">
        <v>2</v>
      </c>
      <c r="H170" t="s">
        <v>96</v>
      </c>
      <c r="I170" s="3">
        <v>46248</v>
      </c>
      <c r="J170" s="3">
        <v>46217.649826388886</v>
      </c>
      <c r="K170" s="9">
        <f t="shared" si="2"/>
        <v>33</v>
      </c>
      <c r="L170">
        <v>3740</v>
      </c>
      <c r="M170" t="s">
        <v>35</v>
      </c>
      <c r="N170">
        <v>0</v>
      </c>
      <c r="O170">
        <v>2</v>
      </c>
      <c r="P170">
        <v>0</v>
      </c>
      <c r="Q170">
        <v>0</v>
      </c>
      <c r="R170" t="s">
        <v>36</v>
      </c>
      <c r="S170" t="s">
        <v>46</v>
      </c>
      <c r="T170" t="s">
        <v>38</v>
      </c>
      <c r="U170">
        <v>6</v>
      </c>
      <c r="W170">
        <v>1</v>
      </c>
      <c r="X170">
        <v>0</v>
      </c>
      <c r="Y170">
        <v>0</v>
      </c>
      <c r="Z170" t="s">
        <v>39</v>
      </c>
      <c r="AA170" t="s">
        <v>40</v>
      </c>
      <c r="AB170" t="s">
        <v>41</v>
      </c>
    </row>
    <row r="171" spans="1:28" x14ac:dyDescent="0.35">
      <c r="A171" s="3">
        <v>46247</v>
      </c>
      <c r="B171">
        <v>210294</v>
      </c>
      <c r="C171" t="s">
        <v>67</v>
      </c>
      <c r="D171" t="s">
        <v>31</v>
      </c>
      <c r="E171" t="s">
        <v>68</v>
      </c>
      <c r="F171" t="s">
        <v>44</v>
      </c>
      <c r="G171">
        <v>2</v>
      </c>
      <c r="H171" t="s">
        <v>96</v>
      </c>
      <c r="I171" s="3">
        <v>46248</v>
      </c>
      <c r="J171" s="3">
        <v>46217.649826388886</v>
      </c>
      <c r="K171" s="9">
        <f t="shared" si="2"/>
        <v>33</v>
      </c>
      <c r="L171">
        <v>1892</v>
      </c>
      <c r="M171" t="s">
        <v>35</v>
      </c>
      <c r="N171">
        <v>0</v>
      </c>
      <c r="O171">
        <v>2</v>
      </c>
      <c r="P171">
        <v>0</v>
      </c>
      <c r="Q171">
        <v>0</v>
      </c>
      <c r="R171" t="s">
        <v>36</v>
      </c>
      <c r="S171" t="s">
        <v>46</v>
      </c>
      <c r="T171" t="s">
        <v>38</v>
      </c>
      <c r="U171">
        <v>7</v>
      </c>
      <c r="W171">
        <v>1</v>
      </c>
      <c r="X171">
        <v>0</v>
      </c>
      <c r="Y171">
        <v>0</v>
      </c>
      <c r="Z171" t="s">
        <v>39</v>
      </c>
      <c r="AA171" t="s">
        <v>40</v>
      </c>
      <c r="AB171" t="s">
        <v>41</v>
      </c>
    </row>
    <row r="172" spans="1:28" x14ac:dyDescent="0.35">
      <c r="A172" s="3">
        <v>46247</v>
      </c>
      <c r="B172">
        <v>210289</v>
      </c>
      <c r="C172" t="s">
        <v>83</v>
      </c>
      <c r="D172" t="s">
        <v>31</v>
      </c>
      <c r="E172" t="s">
        <v>84</v>
      </c>
      <c r="F172" t="s">
        <v>44</v>
      </c>
      <c r="G172">
        <v>5</v>
      </c>
      <c r="H172" t="s">
        <v>93</v>
      </c>
      <c r="I172" s="3">
        <v>46248</v>
      </c>
      <c r="J172" s="3">
        <v>46217.644525462965</v>
      </c>
      <c r="K172" s="9">
        <f t="shared" si="2"/>
        <v>33</v>
      </c>
      <c r="L172">
        <v>7843</v>
      </c>
      <c r="M172" t="s">
        <v>35</v>
      </c>
      <c r="N172">
        <v>0</v>
      </c>
      <c r="O172">
        <v>5</v>
      </c>
      <c r="P172">
        <v>0</v>
      </c>
      <c r="Q172">
        <v>0</v>
      </c>
      <c r="R172" t="s">
        <v>36</v>
      </c>
      <c r="S172" t="s">
        <v>46</v>
      </c>
      <c r="T172" t="s">
        <v>38</v>
      </c>
      <c r="U172">
        <v>1</v>
      </c>
      <c r="W172">
        <v>1</v>
      </c>
      <c r="X172">
        <v>0</v>
      </c>
      <c r="Y172">
        <v>0</v>
      </c>
      <c r="Z172" t="s">
        <v>39</v>
      </c>
      <c r="AA172" t="s">
        <v>40</v>
      </c>
      <c r="AB172" t="s">
        <v>41</v>
      </c>
    </row>
    <row r="173" spans="1:28" x14ac:dyDescent="0.35">
      <c r="A173" s="3">
        <v>46247</v>
      </c>
      <c r="B173">
        <v>210289</v>
      </c>
      <c r="C173" t="s">
        <v>59</v>
      </c>
      <c r="D173" t="s">
        <v>31</v>
      </c>
      <c r="E173" t="s">
        <v>60</v>
      </c>
      <c r="F173" t="s">
        <v>44</v>
      </c>
      <c r="G173">
        <v>6</v>
      </c>
      <c r="H173" t="s">
        <v>93</v>
      </c>
      <c r="I173" s="3">
        <v>46248</v>
      </c>
      <c r="J173" s="3">
        <v>46217.644525462965</v>
      </c>
      <c r="K173" s="9">
        <f t="shared" si="2"/>
        <v>33</v>
      </c>
      <c r="L173">
        <v>3709.2</v>
      </c>
      <c r="M173" t="s">
        <v>35</v>
      </c>
      <c r="N173">
        <v>0</v>
      </c>
      <c r="O173">
        <v>6</v>
      </c>
      <c r="P173">
        <v>0</v>
      </c>
      <c r="Q173">
        <v>0</v>
      </c>
      <c r="R173" t="s">
        <v>36</v>
      </c>
      <c r="S173" t="s">
        <v>46</v>
      </c>
      <c r="T173" t="s">
        <v>38</v>
      </c>
      <c r="U173">
        <v>2</v>
      </c>
      <c r="W173">
        <v>1</v>
      </c>
      <c r="X173">
        <v>0</v>
      </c>
      <c r="Y173">
        <v>0</v>
      </c>
      <c r="Z173" t="s">
        <v>39</v>
      </c>
      <c r="AA173" t="s">
        <v>40</v>
      </c>
      <c r="AB173" t="s">
        <v>41</v>
      </c>
    </row>
    <row r="174" spans="1:28" x14ac:dyDescent="0.35">
      <c r="A174" s="3">
        <v>46247</v>
      </c>
      <c r="B174">
        <v>210289</v>
      </c>
      <c r="C174" t="s">
        <v>61</v>
      </c>
      <c r="D174" t="s">
        <v>31</v>
      </c>
      <c r="E174" t="s">
        <v>62</v>
      </c>
      <c r="F174" t="s">
        <v>44</v>
      </c>
      <c r="G174">
        <v>5</v>
      </c>
      <c r="H174" t="s">
        <v>93</v>
      </c>
      <c r="I174" s="3">
        <v>46248</v>
      </c>
      <c r="J174" s="3">
        <v>46217.644525462965</v>
      </c>
      <c r="K174" s="9">
        <f t="shared" si="2"/>
        <v>33</v>
      </c>
      <c r="L174">
        <v>5110</v>
      </c>
      <c r="M174" t="s">
        <v>35</v>
      </c>
      <c r="N174">
        <v>0</v>
      </c>
      <c r="O174">
        <v>5</v>
      </c>
      <c r="P174">
        <v>0</v>
      </c>
      <c r="Q174">
        <v>0</v>
      </c>
      <c r="R174" t="s">
        <v>36</v>
      </c>
      <c r="S174" t="s">
        <v>46</v>
      </c>
      <c r="T174" t="s">
        <v>38</v>
      </c>
      <c r="U174">
        <v>3</v>
      </c>
      <c r="W174">
        <v>1</v>
      </c>
      <c r="X174">
        <v>0</v>
      </c>
      <c r="Y174">
        <v>0</v>
      </c>
      <c r="Z174" t="s">
        <v>39</v>
      </c>
      <c r="AA174" t="s">
        <v>40</v>
      </c>
      <c r="AB174" t="s">
        <v>41</v>
      </c>
    </row>
    <row r="175" spans="1:28" x14ac:dyDescent="0.35">
      <c r="A175" s="3">
        <v>46247</v>
      </c>
      <c r="B175">
        <v>210289</v>
      </c>
      <c r="C175" t="s">
        <v>55</v>
      </c>
      <c r="D175" t="s">
        <v>31</v>
      </c>
      <c r="E175" t="s">
        <v>56</v>
      </c>
      <c r="F175" t="s">
        <v>44</v>
      </c>
      <c r="G175">
        <v>8</v>
      </c>
      <c r="H175" t="s">
        <v>93</v>
      </c>
      <c r="I175" s="3">
        <v>46248</v>
      </c>
      <c r="J175" s="3">
        <v>46217.644525462965</v>
      </c>
      <c r="K175" s="9">
        <f t="shared" si="2"/>
        <v>33</v>
      </c>
      <c r="L175">
        <v>7480</v>
      </c>
      <c r="M175" t="s">
        <v>35</v>
      </c>
      <c r="N175">
        <v>0</v>
      </c>
      <c r="O175">
        <v>8</v>
      </c>
      <c r="P175">
        <v>0</v>
      </c>
      <c r="Q175">
        <v>0</v>
      </c>
      <c r="R175" t="s">
        <v>36</v>
      </c>
      <c r="S175" t="s">
        <v>46</v>
      </c>
      <c r="T175" t="s">
        <v>38</v>
      </c>
      <c r="U175">
        <v>4</v>
      </c>
      <c r="W175">
        <v>1</v>
      </c>
      <c r="X175">
        <v>0</v>
      </c>
      <c r="Y175">
        <v>0</v>
      </c>
      <c r="Z175" t="s">
        <v>39</v>
      </c>
      <c r="AA175" t="s">
        <v>40</v>
      </c>
      <c r="AB175" t="s">
        <v>41</v>
      </c>
    </row>
    <row r="176" spans="1:28" x14ac:dyDescent="0.35">
      <c r="A176" s="3">
        <v>46247</v>
      </c>
      <c r="B176">
        <v>210289</v>
      </c>
      <c r="C176" t="s">
        <v>87</v>
      </c>
      <c r="D176" t="s">
        <v>31</v>
      </c>
      <c r="E176" t="s">
        <v>88</v>
      </c>
      <c r="F176" t="s">
        <v>44</v>
      </c>
      <c r="G176">
        <v>4</v>
      </c>
      <c r="H176" t="s">
        <v>93</v>
      </c>
      <c r="I176" s="3">
        <v>46248</v>
      </c>
      <c r="J176" s="3">
        <v>46217.644525462965</v>
      </c>
      <c r="K176" s="9">
        <f t="shared" si="2"/>
        <v>33</v>
      </c>
      <c r="L176">
        <v>5843.2</v>
      </c>
      <c r="M176" t="s">
        <v>35</v>
      </c>
      <c r="N176">
        <v>0</v>
      </c>
      <c r="O176">
        <v>4</v>
      </c>
      <c r="P176">
        <v>0</v>
      </c>
      <c r="Q176">
        <v>0</v>
      </c>
      <c r="R176" t="s">
        <v>36</v>
      </c>
      <c r="S176" t="s">
        <v>46</v>
      </c>
      <c r="T176" t="s">
        <v>38</v>
      </c>
      <c r="U176">
        <v>5</v>
      </c>
      <c r="W176">
        <v>1</v>
      </c>
      <c r="X176">
        <v>0</v>
      </c>
      <c r="Y176">
        <v>0</v>
      </c>
      <c r="Z176" t="s">
        <v>39</v>
      </c>
      <c r="AA176" t="s">
        <v>40</v>
      </c>
      <c r="AB176" t="s">
        <v>41</v>
      </c>
    </row>
    <row r="177" spans="1:28" x14ac:dyDescent="0.35">
      <c r="A177" s="3">
        <v>46247</v>
      </c>
      <c r="B177">
        <v>210289</v>
      </c>
      <c r="C177" t="s">
        <v>67</v>
      </c>
      <c r="D177" t="s">
        <v>31</v>
      </c>
      <c r="E177" t="s">
        <v>68</v>
      </c>
      <c r="F177" t="s">
        <v>44</v>
      </c>
      <c r="G177">
        <v>2</v>
      </c>
      <c r="H177" t="s">
        <v>93</v>
      </c>
      <c r="I177" s="3">
        <v>46248</v>
      </c>
      <c r="J177" s="3">
        <v>46217.644525462965</v>
      </c>
      <c r="K177" s="9">
        <f t="shared" si="2"/>
        <v>33</v>
      </c>
      <c r="L177">
        <v>1892</v>
      </c>
      <c r="M177" t="s">
        <v>35</v>
      </c>
      <c r="N177">
        <v>0</v>
      </c>
      <c r="O177">
        <v>2</v>
      </c>
      <c r="P177">
        <v>0</v>
      </c>
      <c r="Q177">
        <v>0</v>
      </c>
      <c r="R177" t="s">
        <v>36</v>
      </c>
      <c r="S177" t="s">
        <v>46</v>
      </c>
      <c r="T177" t="s">
        <v>38</v>
      </c>
      <c r="U177">
        <v>6</v>
      </c>
      <c r="W177">
        <v>1</v>
      </c>
      <c r="X177">
        <v>0</v>
      </c>
      <c r="Y177">
        <v>0</v>
      </c>
      <c r="Z177" t="s">
        <v>39</v>
      </c>
      <c r="AA177" t="s">
        <v>40</v>
      </c>
      <c r="AB177" t="s">
        <v>41</v>
      </c>
    </row>
    <row r="178" spans="1:28" x14ac:dyDescent="0.35">
      <c r="A178" s="3">
        <v>46247</v>
      </c>
      <c r="B178">
        <v>210280</v>
      </c>
      <c r="C178" t="s">
        <v>81</v>
      </c>
      <c r="D178" t="s">
        <v>31</v>
      </c>
      <c r="E178" t="s">
        <v>82</v>
      </c>
      <c r="F178" t="s">
        <v>44</v>
      </c>
      <c r="G178">
        <v>7</v>
      </c>
      <c r="H178" t="s">
        <v>34</v>
      </c>
      <c r="I178" s="3">
        <v>46248</v>
      </c>
      <c r="J178" s="3">
        <v>46217.634976851848</v>
      </c>
      <c r="K178" s="9">
        <f t="shared" si="2"/>
        <v>33</v>
      </c>
      <c r="L178">
        <v>11775.82</v>
      </c>
      <c r="M178" t="s">
        <v>35</v>
      </c>
      <c r="N178">
        <v>0</v>
      </c>
      <c r="O178">
        <v>7</v>
      </c>
      <c r="P178">
        <v>0</v>
      </c>
      <c r="Q178">
        <v>0</v>
      </c>
      <c r="R178" t="s">
        <v>36</v>
      </c>
      <c r="S178" t="s">
        <v>46</v>
      </c>
      <c r="T178" t="s">
        <v>38</v>
      </c>
      <c r="U178">
        <v>1</v>
      </c>
      <c r="W178">
        <v>1</v>
      </c>
      <c r="X178">
        <v>0</v>
      </c>
      <c r="Y178">
        <v>0</v>
      </c>
      <c r="Z178" t="s">
        <v>39</v>
      </c>
      <c r="AA178" t="s">
        <v>40</v>
      </c>
      <c r="AB178" t="s">
        <v>41</v>
      </c>
    </row>
    <row r="179" spans="1:28" x14ac:dyDescent="0.35">
      <c r="A179" s="3">
        <v>46247</v>
      </c>
      <c r="B179">
        <v>210280</v>
      </c>
      <c r="C179" t="s">
        <v>83</v>
      </c>
      <c r="D179" t="s">
        <v>31</v>
      </c>
      <c r="E179" t="s">
        <v>84</v>
      </c>
      <c r="F179" t="s">
        <v>44</v>
      </c>
      <c r="G179">
        <v>7</v>
      </c>
      <c r="H179" t="s">
        <v>34</v>
      </c>
      <c r="I179" s="3">
        <v>46248</v>
      </c>
      <c r="J179" s="3">
        <v>46217.634976851848</v>
      </c>
      <c r="K179" s="9">
        <f t="shared" si="2"/>
        <v>33</v>
      </c>
      <c r="L179">
        <v>10980.2</v>
      </c>
      <c r="M179" t="s">
        <v>35</v>
      </c>
      <c r="N179">
        <v>0</v>
      </c>
      <c r="O179">
        <v>7</v>
      </c>
      <c r="P179">
        <v>0</v>
      </c>
      <c r="Q179">
        <v>0</v>
      </c>
      <c r="R179" t="s">
        <v>36</v>
      </c>
      <c r="S179" t="s">
        <v>46</v>
      </c>
      <c r="T179" t="s">
        <v>38</v>
      </c>
      <c r="U179">
        <v>2</v>
      </c>
      <c r="W179">
        <v>1</v>
      </c>
      <c r="X179">
        <v>0</v>
      </c>
      <c r="Y179">
        <v>0</v>
      </c>
      <c r="Z179" t="s">
        <v>39</v>
      </c>
      <c r="AA179" t="s">
        <v>40</v>
      </c>
      <c r="AB179" t="s">
        <v>41</v>
      </c>
    </row>
    <row r="180" spans="1:28" x14ac:dyDescent="0.35">
      <c r="A180" s="3">
        <v>46247</v>
      </c>
      <c r="B180">
        <v>210280</v>
      </c>
      <c r="C180" t="s">
        <v>59</v>
      </c>
      <c r="D180" t="s">
        <v>31</v>
      </c>
      <c r="E180" t="s">
        <v>60</v>
      </c>
      <c r="F180" t="s">
        <v>44</v>
      </c>
      <c r="G180">
        <v>30</v>
      </c>
      <c r="H180" t="s">
        <v>34</v>
      </c>
      <c r="I180" s="3">
        <v>46248</v>
      </c>
      <c r="J180" s="3">
        <v>46217.634976851848</v>
      </c>
      <c r="K180" s="9">
        <f t="shared" si="2"/>
        <v>33</v>
      </c>
      <c r="L180">
        <v>18546</v>
      </c>
      <c r="M180" t="s">
        <v>35</v>
      </c>
      <c r="N180">
        <v>0</v>
      </c>
      <c r="O180">
        <v>30</v>
      </c>
      <c r="P180">
        <v>0</v>
      </c>
      <c r="Q180">
        <v>0</v>
      </c>
      <c r="R180" t="s">
        <v>36</v>
      </c>
      <c r="S180" t="s">
        <v>46</v>
      </c>
      <c r="T180" t="s">
        <v>38</v>
      </c>
      <c r="U180">
        <v>3</v>
      </c>
      <c r="W180">
        <v>1</v>
      </c>
      <c r="X180">
        <v>0</v>
      </c>
      <c r="Y180">
        <v>0</v>
      </c>
      <c r="Z180" t="s">
        <v>39</v>
      </c>
      <c r="AA180" t="s">
        <v>40</v>
      </c>
      <c r="AB180" t="s">
        <v>41</v>
      </c>
    </row>
    <row r="181" spans="1:28" x14ac:dyDescent="0.35">
      <c r="A181" s="3">
        <v>46247</v>
      </c>
      <c r="B181">
        <v>210280</v>
      </c>
      <c r="C181" t="s">
        <v>61</v>
      </c>
      <c r="D181" t="s">
        <v>31</v>
      </c>
      <c r="E181" t="s">
        <v>62</v>
      </c>
      <c r="F181" t="s">
        <v>44</v>
      </c>
      <c r="G181">
        <v>40</v>
      </c>
      <c r="H181" t="s">
        <v>34</v>
      </c>
      <c r="I181" s="3">
        <v>46248</v>
      </c>
      <c r="J181" s="3">
        <v>46217.634976851848</v>
      </c>
      <c r="K181" s="9">
        <f t="shared" si="2"/>
        <v>33</v>
      </c>
      <c r="L181">
        <v>40880</v>
      </c>
      <c r="M181" t="s">
        <v>35</v>
      </c>
      <c r="N181">
        <v>0</v>
      </c>
      <c r="O181">
        <v>40</v>
      </c>
      <c r="P181">
        <v>0</v>
      </c>
      <c r="Q181">
        <v>0</v>
      </c>
      <c r="R181" t="s">
        <v>36</v>
      </c>
      <c r="S181" t="s">
        <v>46</v>
      </c>
      <c r="T181" t="s">
        <v>38</v>
      </c>
      <c r="U181">
        <v>4</v>
      </c>
      <c r="W181">
        <v>1</v>
      </c>
      <c r="X181">
        <v>0</v>
      </c>
      <c r="Y181">
        <v>0</v>
      </c>
      <c r="Z181" t="s">
        <v>39</v>
      </c>
      <c r="AA181" t="s">
        <v>40</v>
      </c>
      <c r="AB181" t="s">
        <v>41</v>
      </c>
    </row>
    <row r="182" spans="1:28" x14ac:dyDescent="0.35">
      <c r="A182" s="3">
        <v>46247</v>
      </c>
      <c r="B182">
        <v>210280</v>
      </c>
      <c r="C182" t="s">
        <v>85</v>
      </c>
      <c r="D182" t="s">
        <v>31</v>
      </c>
      <c r="E182" t="s">
        <v>86</v>
      </c>
      <c r="F182" t="s">
        <v>33</v>
      </c>
      <c r="G182">
        <v>7</v>
      </c>
      <c r="H182" t="s">
        <v>34</v>
      </c>
      <c r="I182" s="3">
        <v>46248</v>
      </c>
      <c r="J182" s="3">
        <v>46217.634976851848</v>
      </c>
      <c r="K182" s="9">
        <f t="shared" si="2"/>
        <v>33</v>
      </c>
      <c r="L182">
        <v>1561</v>
      </c>
      <c r="M182" t="s">
        <v>35</v>
      </c>
      <c r="N182">
        <v>0</v>
      </c>
      <c r="O182">
        <v>7</v>
      </c>
      <c r="P182">
        <v>0</v>
      </c>
      <c r="Q182">
        <v>0</v>
      </c>
      <c r="R182" t="s">
        <v>36</v>
      </c>
      <c r="S182" t="s">
        <v>46</v>
      </c>
      <c r="T182" t="s">
        <v>38</v>
      </c>
      <c r="U182">
        <v>5</v>
      </c>
      <c r="W182">
        <v>1</v>
      </c>
      <c r="X182">
        <v>0</v>
      </c>
      <c r="Y182">
        <v>0</v>
      </c>
      <c r="Z182" t="s">
        <v>39</v>
      </c>
      <c r="AA182" t="s">
        <v>40</v>
      </c>
      <c r="AB182" t="s">
        <v>41</v>
      </c>
    </row>
    <row r="183" spans="1:28" x14ac:dyDescent="0.35">
      <c r="A183" s="3">
        <v>46247</v>
      </c>
      <c r="B183">
        <v>210277</v>
      </c>
      <c r="C183" t="s">
        <v>91</v>
      </c>
      <c r="D183" t="s">
        <v>31</v>
      </c>
      <c r="E183" t="s">
        <v>92</v>
      </c>
      <c r="F183" t="s">
        <v>33</v>
      </c>
      <c r="G183">
        <v>10</v>
      </c>
      <c r="H183" t="s">
        <v>34</v>
      </c>
      <c r="I183" s="3">
        <v>46248</v>
      </c>
      <c r="J183" s="3">
        <v>46217.631793981483</v>
      </c>
      <c r="K183" s="9">
        <f t="shared" si="2"/>
        <v>33</v>
      </c>
      <c r="L183">
        <v>5300</v>
      </c>
      <c r="M183" t="s">
        <v>35</v>
      </c>
      <c r="N183">
        <v>0</v>
      </c>
      <c r="O183">
        <v>10</v>
      </c>
      <c r="P183">
        <v>0</v>
      </c>
      <c r="Q183">
        <v>0</v>
      </c>
      <c r="R183" t="s">
        <v>36</v>
      </c>
      <c r="S183" t="s">
        <v>46</v>
      </c>
      <c r="T183" t="s">
        <v>38</v>
      </c>
      <c r="U183">
        <v>1</v>
      </c>
      <c r="W183">
        <v>1</v>
      </c>
      <c r="X183">
        <v>0</v>
      </c>
      <c r="Y183">
        <v>0</v>
      </c>
      <c r="Z183" t="s">
        <v>39</v>
      </c>
      <c r="AA183" t="s">
        <v>40</v>
      </c>
      <c r="AB183" t="s">
        <v>41</v>
      </c>
    </row>
    <row r="184" spans="1:28" x14ac:dyDescent="0.35">
      <c r="A184" s="3">
        <v>46247</v>
      </c>
      <c r="B184">
        <v>209882</v>
      </c>
      <c r="C184" t="s">
        <v>99</v>
      </c>
      <c r="D184" t="s">
        <v>31</v>
      </c>
      <c r="E184" t="s">
        <v>100</v>
      </c>
      <c r="F184" t="s">
        <v>44</v>
      </c>
      <c r="G184">
        <v>3</v>
      </c>
      <c r="H184" t="s">
        <v>34</v>
      </c>
      <c r="I184" s="3">
        <v>46248</v>
      </c>
      <c r="J184" s="3">
        <v>46213.421736111108</v>
      </c>
      <c r="K184" s="9">
        <f t="shared" si="2"/>
        <v>33</v>
      </c>
      <c r="L184">
        <v>3836.55</v>
      </c>
      <c r="M184" t="s">
        <v>35</v>
      </c>
      <c r="N184">
        <v>0</v>
      </c>
      <c r="O184">
        <v>3</v>
      </c>
      <c r="P184">
        <v>0</v>
      </c>
      <c r="Q184">
        <v>0</v>
      </c>
      <c r="R184" t="s">
        <v>36</v>
      </c>
      <c r="S184" t="s">
        <v>46</v>
      </c>
      <c r="T184" t="s">
        <v>38</v>
      </c>
      <c r="U184">
        <v>1</v>
      </c>
      <c r="W184">
        <v>1</v>
      </c>
      <c r="X184">
        <v>0</v>
      </c>
      <c r="Y184">
        <v>0</v>
      </c>
      <c r="Z184" t="s">
        <v>39</v>
      </c>
      <c r="AA184" t="s">
        <v>40</v>
      </c>
      <c r="AB184" t="s">
        <v>41</v>
      </c>
    </row>
    <row r="185" spans="1:28" x14ac:dyDescent="0.35">
      <c r="A185" s="3">
        <v>46254</v>
      </c>
      <c r="B185">
        <v>210302</v>
      </c>
      <c r="C185" t="s">
        <v>30</v>
      </c>
      <c r="D185" t="s">
        <v>31</v>
      </c>
      <c r="E185" t="s">
        <v>32</v>
      </c>
      <c r="F185" t="s">
        <v>33</v>
      </c>
      <c r="G185">
        <v>24</v>
      </c>
      <c r="H185" t="s">
        <v>45</v>
      </c>
      <c r="I185" s="3">
        <v>46255</v>
      </c>
      <c r="J185" s="3">
        <v>46217.657268518517</v>
      </c>
      <c r="K185" s="9">
        <f t="shared" si="2"/>
        <v>34</v>
      </c>
      <c r="L185">
        <v>31413.360000000001</v>
      </c>
      <c r="M185" t="s">
        <v>35</v>
      </c>
      <c r="N185">
        <v>0</v>
      </c>
      <c r="O185">
        <v>24</v>
      </c>
      <c r="P185">
        <v>0</v>
      </c>
      <c r="Q185">
        <v>0</v>
      </c>
      <c r="R185" t="s">
        <v>36</v>
      </c>
      <c r="S185" t="s">
        <v>46</v>
      </c>
      <c r="T185" t="s">
        <v>38</v>
      </c>
      <c r="U185">
        <v>1</v>
      </c>
      <c r="W185">
        <v>1</v>
      </c>
      <c r="X185">
        <v>0</v>
      </c>
      <c r="Y185">
        <v>0</v>
      </c>
      <c r="Z185" t="s">
        <v>39</v>
      </c>
      <c r="AA185" t="s">
        <v>40</v>
      </c>
      <c r="AB185" t="s">
        <v>41</v>
      </c>
    </row>
    <row r="186" spans="1:28" x14ac:dyDescent="0.35">
      <c r="A186" s="3">
        <v>46254</v>
      </c>
      <c r="B186">
        <v>210291</v>
      </c>
      <c r="C186" t="s">
        <v>59</v>
      </c>
      <c r="D186" t="s">
        <v>31</v>
      </c>
      <c r="E186" t="s">
        <v>60</v>
      </c>
      <c r="F186" t="s">
        <v>44</v>
      </c>
      <c r="G186">
        <v>6</v>
      </c>
      <c r="H186" t="s">
        <v>93</v>
      </c>
      <c r="I186" s="3">
        <v>46255</v>
      </c>
      <c r="J186" s="3">
        <v>46217.646643518521</v>
      </c>
      <c r="K186" s="9">
        <f t="shared" si="2"/>
        <v>34</v>
      </c>
      <c r="L186">
        <v>3709.2</v>
      </c>
      <c r="M186" t="s">
        <v>35</v>
      </c>
      <c r="N186">
        <v>0</v>
      </c>
      <c r="O186">
        <v>6</v>
      </c>
      <c r="P186">
        <v>0</v>
      </c>
      <c r="Q186">
        <v>0</v>
      </c>
      <c r="R186" t="s">
        <v>36</v>
      </c>
      <c r="S186" t="s">
        <v>46</v>
      </c>
      <c r="T186" t="s">
        <v>38</v>
      </c>
      <c r="U186">
        <v>1</v>
      </c>
      <c r="W186">
        <v>1</v>
      </c>
      <c r="X186">
        <v>0</v>
      </c>
      <c r="Y186">
        <v>0</v>
      </c>
      <c r="Z186" t="s">
        <v>39</v>
      </c>
      <c r="AA186" t="s">
        <v>40</v>
      </c>
      <c r="AB186" t="s">
        <v>41</v>
      </c>
    </row>
    <row r="187" spans="1:28" x14ac:dyDescent="0.35">
      <c r="A187" s="3">
        <v>46254</v>
      </c>
      <c r="B187">
        <v>210291</v>
      </c>
      <c r="C187" t="s">
        <v>67</v>
      </c>
      <c r="D187" t="s">
        <v>31</v>
      </c>
      <c r="E187" t="s">
        <v>68</v>
      </c>
      <c r="F187" t="s">
        <v>44</v>
      </c>
      <c r="G187">
        <v>2</v>
      </c>
      <c r="H187" t="s">
        <v>93</v>
      </c>
      <c r="I187" s="3">
        <v>46255</v>
      </c>
      <c r="J187" s="3">
        <v>46217.646643518521</v>
      </c>
      <c r="K187" s="9">
        <f t="shared" si="2"/>
        <v>34</v>
      </c>
      <c r="L187">
        <v>1892</v>
      </c>
      <c r="M187" t="s">
        <v>35</v>
      </c>
      <c r="N187">
        <v>0</v>
      </c>
      <c r="O187">
        <v>2</v>
      </c>
      <c r="P187">
        <v>0</v>
      </c>
      <c r="Q187">
        <v>0</v>
      </c>
      <c r="R187" t="s">
        <v>36</v>
      </c>
      <c r="S187" t="s">
        <v>46</v>
      </c>
      <c r="T187" t="s">
        <v>38</v>
      </c>
      <c r="U187">
        <v>2</v>
      </c>
      <c r="W187">
        <v>1</v>
      </c>
      <c r="X187">
        <v>0</v>
      </c>
      <c r="Y187">
        <v>0</v>
      </c>
      <c r="Z187" t="s">
        <v>39</v>
      </c>
      <c r="AA187" t="s">
        <v>40</v>
      </c>
      <c r="AB187" t="s">
        <v>41</v>
      </c>
    </row>
    <row r="188" spans="1:28" x14ac:dyDescent="0.35">
      <c r="A188" s="3">
        <v>46254</v>
      </c>
      <c r="B188">
        <v>210276</v>
      </c>
      <c r="C188" t="s">
        <v>71</v>
      </c>
      <c r="D188" t="s">
        <v>31</v>
      </c>
      <c r="E188" t="s">
        <v>72</v>
      </c>
      <c r="F188" t="s">
        <v>44</v>
      </c>
      <c r="G188">
        <v>300</v>
      </c>
      <c r="H188" t="s">
        <v>45</v>
      </c>
      <c r="I188" s="3">
        <v>46255</v>
      </c>
      <c r="J188" s="3">
        <v>46217.63071759259</v>
      </c>
      <c r="K188" s="9">
        <f t="shared" si="2"/>
        <v>34</v>
      </c>
      <c r="L188">
        <v>169317</v>
      </c>
      <c r="M188" t="s">
        <v>35</v>
      </c>
      <c r="N188">
        <v>0</v>
      </c>
      <c r="O188">
        <v>300</v>
      </c>
      <c r="P188">
        <v>0</v>
      </c>
      <c r="Q188">
        <v>0</v>
      </c>
      <c r="R188" t="s">
        <v>36</v>
      </c>
      <c r="S188" t="s">
        <v>46</v>
      </c>
      <c r="T188" t="s">
        <v>38</v>
      </c>
      <c r="U188">
        <v>1</v>
      </c>
      <c r="W188">
        <v>1</v>
      </c>
      <c r="X188">
        <v>0</v>
      </c>
      <c r="Y188">
        <v>0</v>
      </c>
      <c r="Z188" t="s">
        <v>39</v>
      </c>
      <c r="AA188" t="s">
        <v>40</v>
      </c>
      <c r="AB18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fnd_gfm_9980689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Rosas</dc:creator>
  <cp:lastModifiedBy>Mario Alberto Rosas</cp:lastModifiedBy>
  <dcterms:created xsi:type="dcterms:W3CDTF">2026-07-16T17:17:02Z</dcterms:created>
  <dcterms:modified xsi:type="dcterms:W3CDTF">2026-07-20T15:01:23Z</dcterms:modified>
</cp:coreProperties>
</file>